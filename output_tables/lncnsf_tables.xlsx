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beckersv/Desktop/lncnsf/output_tables/"/>
    </mc:Choice>
  </mc:AlternateContent>
  <xr:revisionPtr revIDLastSave="0" documentId="13_ncr:1_{146EBBA0-6E34-0444-ABC9-9596ADF15209}" xr6:coauthVersionLast="47" xr6:coauthVersionMax="47" xr10:uidLastSave="{00000000-0000-0000-0000-000000000000}"/>
  <bookViews>
    <workbookView xWindow="4420" yWindow="660" windowWidth="25820" windowHeight="17360" activeTab="3" xr2:uid="{00000000-000D-0000-FFFF-FFFF00000000}"/>
  </bookViews>
  <sheets>
    <sheet name="Vis Desc Table" sheetId="8" r:id="rId1"/>
    <sheet name="Vis CMBS" sheetId="5" r:id="rId2"/>
    <sheet name="Descriptive Table" sheetId="1" r:id="rId3"/>
    <sheet name="Data Table" sheetId="11" r:id="rId4"/>
    <sheet name="Cluster Medians Binary Scores" sheetId="4" r:id="rId5"/>
    <sheet name=" WIP Desc Table (Inc Coding)" sheetId="9" r:id="rId6"/>
    <sheet name="Tests (Cluster Medians)" sheetId="2" r:id="rId7"/>
    <sheet name="Tests (Binary Score)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9" l="1"/>
  <c r="I23" i="9"/>
  <c r="I20" i="9"/>
  <c r="I17" i="9"/>
  <c r="I14" i="9"/>
  <c r="I11" i="9"/>
  <c r="I8" i="9"/>
  <c r="I5" i="9"/>
  <c r="I2" i="9"/>
  <c r="H27" i="9"/>
  <c r="H26" i="9"/>
  <c r="H24" i="9"/>
  <c r="H23" i="9"/>
  <c r="H21" i="9"/>
  <c r="H20" i="9"/>
  <c r="H18" i="9"/>
  <c r="H17" i="9"/>
  <c r="H15" i="9"/>
  <c r="H14" i="9"/>
  <c r="H12" i="9"/>
  <c r="H11" i="9"/>
  <c r="H9" i="9"/>
  <c r="H8" i="9"/>
  <c r="H6" i="9"/>
  <c r="H5" i="9"/>
  <c r="H3" i="9"/>
  <c r="H2" i="9"/>
  <c r="H3" i="8"/>
  <c r="H19" i="8"/>
  <c r="I18" i="8"/>
  <c r="H18" i="8"/>
  <c r="H17" i="8"/>
  <c r="I16" i="8"/>
  <c r="H16" i="8"/>
  <c r="H15" i="8"/>
  <c r="I14" i="8"/>
  <c r="H14" i="8"/>
  <c r="H13" i="8"/>
  <c r="I12" i="8"/>
  <c r="H12" i="8"/>
  <c r="H11" i="8"/>
  <c r="I10" i="8"/>
  <c r="H10" i="8"/>
  <c r="H9" i="8"/>
  <c r="I8" i="8"/>
  <c r="H8" i="8"/>
  <c r="H7" i="8"/>
  <c r="I6" i="8"/>
  <c r="H6" i="8"/>
  <c r="H5" i="8"/>
  <c r="I4" i="8"/>
  <c r="H4" i="8"/>
  <c r="I2" i="8"/>
  <c r="H2" i="8"/>
  <c r="D3" i="3"/>
  <c r="D28" i="3"/>
  <c r="C31" i="3" s="1"/>
  <c r="D27" i="3"/>
  <c r="C30" i="3" s="1"/>
  <c r="D16" i="3"/>
  <c r="C19" i="3" s="1"/>
  <c r="D15" i="3"/>
  <c r="C18" i="3" s="1"/>
  <c r="D4" i="3"/>
  <c r="C7" i="3" s="1"/>
  <c r="C6" i="3"/>
  <c r="D28" i="2"/>
  <c r="C31" i="2" s="1"/>
  <c r="D27" i="2"/>
  <c r="C30" i="2" s="1"/>
  <c r="D16" i="2"/>
  <c r="C19" i="2" s="1"/>
  <c r="D15" i="2"/>
  <c r="C18" i="2" s="1"/>
  <c r="D4" i="2"/>
  <c r="C7" i="2" s="1"/>
  <c r="D3" i="2"/>
  <c r="C6" i="2" s="1"/>
  <c r="J4" i="1"/>
  <c r="J6" i="1"/>
  <c r="J8" i="1"/>
  <c r="J10" i="1"/>
  <c r="J12" i="1"/>
  <c r="J14" i="1"/>
  <c r="J16" i="1"/>
  <c r="J18" i="1"/>
  <c r="J2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<sst xmlns="http://schemas.openxmlformats.org/spreadsheetml/2006/main" count="419" uniqueCount="156">
  <si>
    <t>Neural v Non-Neural</t>
  </si>
  <si>
    <t>Tissue</t>
  </si>
  <si>
    <t>Number of Cell Types</t>
  </si>
  <si>
    <t>Cells (post-filter and downsampled)</t>
  </si>
  <si>
    <t>Gene Set</t>
  </si>
  <si>
    <t>Number of Genes</t>
  </si>
  <si>
    <t>Number of Positive Genes</t>
  </si>
  <si>
    <t>% of Genes Selected as Positive</t>
  </si>
  <si>
    <t>Cluster Median Stats</t>
  </si>
  <si>
    <t>Binary Score Stats</t>
  </si>
  <si>
    <t>Binary First Threshold (high)</t>
  </si>
  <si>
    <t>Averge Number of Genes/Cluster after Selection</t>
  </si>
  <si>
    <t>Non-Neural</t>
  </si>
  <si>
    <t>Bone Marrow</t>
  </si>
  <si>
    <t>66.6k</t>
  </si>
  <si>
    <t>Full</t>
  </si>
  <si>
    <t>median: 0.0
mean: 0.028
std: 0.222</t>
  </si>
  <si>
    <t>median: 0.0
mean: 0.128
std: 0.276</t>
  </si>
  <si>
    <t>lncRNA</t>
  </si>
  <si>
    <t>median: 0.0
mean: 0.002
std: 0.064</t>
  </si>
  <si>
    <t>median: 0.0
mean: 0.105
std: 0.258</t>
  </si>
  <si>
    <t>Breast</t>
  </si>
  <si>
    <t>507.0k</t>
  </si>
  <si>
    <t>median: 0.0
mean: 0.032
std: 0.255</t>
  </si>
  <si>
    <t>median: 0.0
mean: 0.098
std: 0.254</t>
  </si>
  <si>
    <t>median: 0.0
mean: 0.002
std: 0.071</t>
  </si>
  <si>
    <t>median: 0.0
mean: 0.104
std: 0.242</t>
  </si>
  <si>
    <t>Kidney</t>
  </si>
  <si>
    <t>107.7k</t>
  </si>
  <si>
    <t>median: 0.0
mean: 0.021
std: 0.183</t>
  </si>
  <si>
    <t>median: 0.0
mean: 0.083
std: 0.243</t>
  </si>
  <si>
    <t>median: 0.0
mean: 0.002
std: 0.081</t>
  </si>
  <si>
    <t>median: 0.0
mean: 0.055
std: 0.205</t>
  </si>
  <si>
    <t>Liver</t>
  </si>
  <si>
    <t>259.6k</t>
  </si>
  <si>
    <t>median: 0.0
mean: 0.021
std: 0.218</t>
  </si>
  <si>
    <t>median: 0.0
mean: 0.105
std: 0.271</t>
  </si>
  <si>
    <t>median: 0.0
mean: 0.001
std: 0.066</t>
  </si>
  <si>
    <t>median: 0.0
mean: 0.073
std: 0.239</t>
  </si>
  <si>
    <t>Lung</t>
  </si>
  <si>
    <t>491.2k</t>
  </si>
  <si>
    <t>median: 0.0
mean: 0.038
std: 0.274</t>
  </si>
  <si>
    <t>median: 0.0
mean: 0.092
std: 0.246</t>
  </si>
  <si>
    <t>median: 0.0
mean: 0.001
std: 0.07</t>
  </si>
  <si>
    <t>median: 0.0
mean: 0.053
std: 0.2</t>
  </si>
  <si>
    <t>Neural</t>
  </si>
  <si>
    <t>Motor Cortex (M1)</t>
  </si>
  <si>
    <t>76.5k</t>
  </si>
  <si>
    <t>median: 0.0
mean: 0.091
std: 0.327</t>
  </si>
  <si>
    <t>median: 0.0
mean: 0.147
std: 0.241</t>
  </si>
  <si>
    <t>median: 0.0
mean: 0.03
std: 0.225</t>
  </si>
  <si>
    <t>median: 0.0
mean: 0.114
std: 0.243</t>
  </si>
  <si>
    <t>Middle Temporal Gyrus (MTG)</t>
  </si>
  <si>
    <t>15.6k</t>
  </si>
  <si>
    <t>median: 0.0
mean: 0.077
std: 0.302</t>
  </si>
  <si>
    <t>median: 0.053
mean: 0.208
std: 0.273</t>
  </si>
  <si>
    <t>median: 0.0
mean: 0.026
std: 0.226</t>
  </si>
  <si>
    <t>median: 0.0
mean: 0.166
std: 0.28</t>
  </si>
  <si>
    <t>Retina</t>
  </si>
  <si>
    <t>509.0k</t>
  </si>
  <si>
    <t>median: 0.0
mean: 0.029
std: 0.164</t>
  </si>
  <si>
    <t>median: 0.0
mean: 0.119
std: 0.251</t>
  </si>
  <si>
    <t>median: 0.0
mean: 0.004
std: 0.075</t>
  </si>
  <si>
    <t>median: 0.0
mean: 0.081
std: 0.23</t>
  </si>
  <si>
    <t>Spinal Cord</t>
  </si>
  <si>
    <t>28.6k</t>
  </si>
  <si>
    <t>median: 0.0
mean: 0.062
std: 0.273</t>
  </si>
  <si>
    <t>median: 0.0
mean: 0.179
std: 0.288</t>
  </si>
  <si>
    <t>median: 0.0
mean: 0.007
std: 0.099</t>
  </si>
  <si>
    <t>median: 0.0
mean: 0.129
std: 0.279</t>
  </si>
  <si>
    <t>% of Positive Genes that are lncRNA</t>
  </si>
  <si>
    <t>Non-Zero</t>
  </si>
  <si>
    <t>Zero</t>
  </si>
  <si>
    <t>Full Set</t>
  </si>
  <si>
    <t>lncRNA Set</t>
  </si>
  <si>
    <t>All Tissues</t>
  </si>
  <si>
    <t>% Zeros (Full Set)</t>
  </si>
  <si>
    <t>% Zeros (lncRNA Set)</t>
  </si>
  <si>
    <t>Chi-Sq Stat:</t>
  </si>
  <si>
    <t>p-value:</t>
  </si>
  <si>
    <t>Neural Tissues</t>
  </si>
  <si>
    <t>Total Gene-Cluster Pairs</t>
  </si>
  <si>
    <t>Non-Neural Tissues</t>
  </si>
  <si>
    <t>1.819E-94</t>
  </si>
  <si>
    <t>9.926e-94</t>
  </si>
  <si>
    <t>MW-U</t>
  </si>
  <si>
    <t>3.162e-80</t>
  </si>
  <si>
    <t>6.149E-96</t>
  </si>
  <si>
    <t>Group</t>
  </si>
  <si>
    <t>Zero Proportion lncRNA vs Full (%)</t>
  </si>
  <si>
    <t>Zero Proportion Difference (95% CI)</t>
  </si>
  <si>
    <t>Mean of Non-Zero Values lncRNA vs Full</t>
  </si>
  <si>
    <t>Median of Non-Zero Values lncRNA vs Full</t>
  </si>
  <si>
    <t>Cohen's D</t>
  </si>
  <si>
    <t>Cliff's Delta</t>
  </si>
  <si>
    <t>80.66% vs 67.98%</t>
  </si>
  <si>
    <t>79.41% vs 61.40%</t>
  </si>
  <si>
    <t>88.75% vs 84.22%</t>
  </si>
  <si>
    <t>12.68%
(12.51%, 12.86%</t>
  </si>
  <si>
    <t>18.01%
(17.81%, 18.20%)</t>
  </si>
  <si>
    <t>4.54%
(4.15%, 4.91%)</t>
  </si>
  <si>
    <t>0.723 vs 0.699</t>
  </si>
  <si>
    <t>0.644 vs 0.614</t>
  </si>
  <si>
    <t>1.651 vs 1.208</t>
  </si>
  <si>
    <t>0.474 vs 0.512</t>
  </si>
  <si>
    <t>0.440 vs 0.463</t>
  </si>
  <si>
    <t>1.189 vs 0.955</t>
  </si>
  <si>
    <t>Gene-Cluster Median Expression Values</t>
  </si>
  <si>
    <t>Gene-Cluster Binary Scores</t>
  </si>
  <si>
    <t>80.68% vs 68.01%</t>
  </si>
  <si>
    <t>79.42% vs 61.44%</t>
  </si>
  <si>
    <t>88.78% vs 84.23%</t>
  </si>
  <si>
    <t>12.67%
(12.48%, 12.84%)</t>
  </si>
  <si>
    <t>17.98%
(17.78%, 18.17%)</t>
  </si>
  <si>
    <t>4.55%
(4.17%, 4.92%)</t>
  </si>
  <si>
    <t>0.534 vs 0.444</t>
  </si>
  <si>
    <t>0.529 vs 4.414</t>
  </si>
  <si>
    <t>0.592 vs 0.627</t>
  </si>
  <si>
    <t>0.562 vs 0.414</t>
  </si>
  <si>
    <t>0.556 vs 0.375</t>
  </si>
  <si>
    <t>0.670 vs 0.694</t>
  </si>
  <si>
    <t>Gene-Cluster Medians</t>
  </si>
  <si>
    <t>Difference in Means</t>
  </si>
  <si>
    <t>Difference in Medians</t>
  </si>
  <si>
    <t>Primary Motor Cortex (M1)</t>
  </si>
  <si>
    <t>Coding</t>
  </si>
  <si>
    <t>Cells</t>
  </si>
  <si>
    <t>584.9k</t>
  </si>
  <si>
    <t>803.2k</t>
  </si>
  <si>
    <t>304.6k</t>
  </si>
  <si>
    <t>259.7k</t>
  </si>
  <si>
    <t>15.9k</t>
  </si>
  <si>
    <t>3.2M</t>
  </si>
  <si>
    <t>62.7k</t>
  </si>
  <si>
    <t>Average Number of Genes/Cluster after Selection</t>
  </si>
  <si>
    <t>Cliff's δ</t>
  </si>
  <si>
    <t>Difference in Zero Proportion (95% CI)</t>
  </si>
  <si>
    <t>Type</t>
  </si>
  <si>
    <t>Citation (Raw Data Link)</t>
  </si>
  <si>
    <t>Li et al (2026)</t>
  </si>
  <si>
    <t>Hodge et al (2019)</t>
  </si>
  <si>
    <t>File Name</t>
  </si>
  <si>
    <t>Takeuchi et al. (2025)</t>
  </si>
  <si>
    <t>Spinal cord dataset</t>
  </si>
  <si>
    <t>Taxonomy</t>
  </si>
  <si>
    <t>Human Taxonomy</t>
  </si>
  <si>
    <t>snRNA-seq of human retina - all cells</t>
  </si>
  <si>
    <t>Bone_marrow</t>
  </si>
  <si>
    <t>Reed et al. (2024)</t>
  </si>
  <si>
    <t>HBCA - global</t>
  </si>
  <si>
    <t>Lake et al. (2023)</t>
  </si>
  <si>
    <t>Integrated Single-nucleus and Single-cell RNA-seq of the Adult Human Kidney</t>
  </si>
  <si>
    <t>Xu et al. (2023)</t>
  </si>
  <si>
    <t>Sikkema et al. (2023)</t>
  </si>
  <si>
    <t>An integrated cell atlas of the human lung in health and disease (core)</t>
  </si>
  <si>
    <t>BICCN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</si>
</sst>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2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rgb="FF000000"/>
      <name val="Arial (Body)"/>
    </font>
    <font>
      <sz val="11"/>
      <color rgb="FF000000"/>
      <name val="Arial (Body)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i/>
      <sz val="14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color theme="3"/>
      <name val="Arial (Body)"/>
    </font>
    <font>
      <sz val="10"/>
      <color theme="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0.249977111117893"/>
        <bgColor rgb="FFBDBDBD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5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10" fontId="3" fillId="3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3" fontId="3" fillId="4" borderId="0" xfId="0" applyNumberFormat="1" applyFont="1" applyFill="1" applyAlignment="1">
      <alignment horizontal="center" vertical="center" wrapText="1"/>
    </xf>
    <xf numFmtId="10" fontId="3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10" fontId="3" fillId="3" borderId="4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3" fontId="3" fillId="3" borderId="7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164" fontId="0" fillId="0" borderId="0" xfId="0" applyNumberFormat="1"/>
    <xf numFmtId="10" fontId="0" fillId="0" borderId="0" xfId="1" applyNumberFormat="1" applyFont="1"/>
    <xf numFmtId="165" fontId="0" fillId="0" borderId="0" xfId="2" applyNumberFormat="1" applyFont="1"/>
    <xf numFmtId="0" fontId="8" fillId="0" borderId="0" xfId="0" applyFont="1"/>
    <xf numFmtId="164" fontId="4" fillId="0" borderId="0" xfId="0" quotePrefix="1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10" fontId="4" fillId="0" borderId="0" xfId="1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0" fontId="12" fillId="0" borderId="0" xfId="1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0" fontId="15" fillId="0" borderId="0" xfId="1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0" fontId="17" fillId="0" borderId="2" xfId="0" applyFont="1" applyBorder="1" applyAlignment="1">
      <alignment wrapText="1"/>
    </xf>
    <xf numFmtId="0" fontId="17" fillId="4" borderId="1" xfId="0" applyFon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10" fontId="17" fillId="4" borderId="1" xfId="0" applyNumberFormat="1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3" fontId="17" fillId="3" borderId="7" xfId="0" applyNumberFormat="1" applyFont="1" applyFill="1" applyBorder="1" applyAlignment="1">
      <alignment horizontal="center" vertical="center" wrapText="1"/>
    </xf>
    <xf numFmtId="10" fontId="17" fillId="3" borderId="7" xfId="0" applyNumberFormat="1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3" fontId="17" fillId="3" borderId="4" xfId="0" applyNumberFormat="1" applyFont="1" applyFill="1" applyBorder="1" applyAlignment="1">
      <alignment horizontal="center" vertical="center" wrapText="1"/>
    </xf>
    <xf numFmtId="10" fontId="17" fillId="3" borderId="4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7" fillId="0" borderId="7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3" fontId="17" fillId="0" borderId="4" xfId="0" applyNumberFormat="1" applyFont="1" applyBorder="1" applyAlignment="1">
      <alignment horizontal="center" vertical="center" wrapText="1"/>
    </xf>
    <xf numFmtId="10" fontId="17" fillId="0" borderId="11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3" fontId="17" fillId="3" borderId="0" xfId="0" applyNumberFormat="1" applyFont="1" applyFill="1" applyAlignment="1">
      <alignment horizontal="center" vertical="center" wrapText="1"/>
    </xf>
    <xf numFmtId="10" fontId="17" fillId="3" borderId="0" xfId="0" applyNumberFormat="1" applyFont="1" applyFill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3" fontId="17" fillId="4" borderId="0" xfId="0" applyNumberFormat="1" applyFont="1" applyFill="1" applyAlignment="1">
      <alignment horizontal="center" vertical="center" wrapText="1"/>
    </xf>
    <xf numFmtId="10" fontId="17" fillId="4" borderId="0" xfId="0" applyNumberFormat="1" applyFont="1" applyFill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3" fontId="17" fillId="4" borderId="11" xfId="0" applyNumberFormat="1" applyFont="1" applyFill="1" applyBorder="1" applyAlignment="1">
      <alignment horizontal="center" vertical="center" wrapText="1"/>
    </xf>
    <xf numFmtId="10" fontId="17" fillId="4" borderId="11" xfId="0" applyNumberFormat="1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0" fontId="17" fillId="3" borderId="0" xfId="1" applyNumberFormat="1" applyFont="1" applyFill="1" applyBorder="1" applyAlignment="1">
      <alignment horizontal="center" vertical="center" wrapText="1"/>
    </xf>
    <xf numFmtId="10" fontId="17" fillId="0" borderId="1" xfId="1" applyNumberFormat="1" applyFont="1" applyBorder="1" applyAlignment="1">
      <alignment wrapText="1"/>
    </xf>
    <xf numFmtId="0" fontId="17" fillId="3" borderId="6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wrapText="1"/>
    </xf>
    <xf numFmtId="0" fontId="17" fillId="3" borderId="7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0" fontId="17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10" fontId="17" fillId="3" borderId="7" xfId="1" applyNumberFormat="1" applyFont="1" applyFill="1" applyBorder="1" applyAlignment="1">
      <alignment horizontal="center" vertical="center" wrapText="1"/>
    </xf>
    <xf numFmtId="10" fontId="17" fillId="3" borderId="11" xfId="1" applyNumberFormat="1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wrapText="1"/>
    </xf>
    <xf numFmtId="0" fontId="17" fillId="3" borderId="10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wrapText="1"/>
    </xf>
    <xf numFmtId="10" fontId="17" fillId="0" borderId="11" xfId="1" applyNumberFormat="1" applyFont="1" applyBorder="1" applyAlignment="1">
      <alignment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0" fontId="3" fillId="3" borderId="0" xfId="1" applyNumberFormat="1" applyFont="1" applyFill="1" applyAlignment="1">
      <alignment horizontal="center" vertical="center" wrapText="1"/>
    </xf>
    <xf numFmtId="10" fontId="0" fillId="0" borderId="1" xfId="1" applyNumberFormat="1" applyFont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3" fillId="3" borderId="10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0" fontId="3" fillId="3" borderId="7" xfId="1" applyNumberFormat="1" applyFont="1" applyFill="1" applyBorder="1" applyAlignment="1">
      <alignment horizontal="center" vertical="center" wrapText="1"/>
    </xf>
    <xf numFmtId="10" fontId="3" fillId="3" borderId="11" xfId="1" applyNumberFormat="1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0" fontId="17" fillId="0" borderId="0" xfId="1" applyNumberFormat="1" applyFont="1" applyFill="1" applyAlignment="1">
      <alignment horizontal="center" vertical="center" wrapText="1"/>
    </xf>
    <xf numFmtId="10" fontId="17" fillId="0" borderId="1" xfId="1" applyNumberFormat="1" applyFont="1" applyFill="1" applyBorder="1" applyAlignment="1">
      <alignment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10" fontId="17" fillId="0" borderId="7" xfId="1" applyNumberFormat="1" applyFont="1" applyFill="1" applyBorder="1" applyAlignment="1">
      <alignment horizontal="center" vertical="center" wrapText="1"/>
    </xf>
    <xf numFmtId="10" fontId="17" fillId="0" borderId="0" xfId="1" applyNumberFormat="1" applyFont="1" applyFill="1" applyBorder="1" applyAlignment="1">
      <alignment horizontal="center" vertical="center" wrapText="1"/>
    </xf>
    <xf numFmtId="10" fontId="17" fillId="0" borderId="11" xfId="1" applyNumberFormat="1" applyFont="1" applyFill="1" applyBorder="1" applyAlignment="1">
      <alignment wrapText="1"/>
    </xf>
    <xf numFmtId="0" fontId="9" fillId="0" borderId="0" xfId="0" applyFont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0" fillId="0" borderId="0" xfId="0" applyBorder="1"/>
    <xf numFmtId="0" fontId="14" fillId="5" borderId="0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9" fillId="0" borderId="0" xfId="3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0" xfId="3" applyFont="1" applyBorder="1" applyAlignment="1">
      <alignment horizontal="center" vertical="center" wrapText="1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2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8F452C2-4BF1-5100-E8FC-BFE2DC86058E}"/>
            </a:ext>
          </a:extLst>
        </xdr:cNvPr>
        <xdr:cNvSpPr>
          <a:spLocks noChangeAspect="1" noChangeArrowheads="1"/>
        </xdr:cNvSpPr>
      </xdr:nvSpPr>
      <xdr:spPr bwMode="auto">
        <a:xfrm>
          <a:off x="108204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23518</xdr:colOff>
      <xdr:row>5</xdr:row>
      <xdr:rowOff>11759</xdr:rowOff>
    </xdr:from>
    <xdr:to>
      <xdr:col>8</xdr:col>
      <xdr:colOff>1446389</xdr:colOff>
      <xdr:row>9</xdr:row>
      <xdr:rowOff>3095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3DD9F107-9C20-9C16-1C12-7A64AED87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60370" y="3892315"/>
          <a:ext cx="4456760" cy="3283928"/>
        </a:xfrm>
        <a:prstGeom prst="rect">
          <a:avLst/>
        </a:prstGeom>
      </xdr:spPr>
    </xdr:pic>
    <xdr:clientData/>
  </xdr:twoCellAnchor>
  <xdr:twoCellAnchor editAs="oneCell">
    <xdr:from>
      <xdr:col>6</xdr:col>
      <xdr:colOff>32408</xdr:colOff>
      <xdr:row>0</xdr:row>
      <xdr:rowOff>0</xdr:rowOff>
    </xdr:from>
    <xdr:to>
      <xdr:col>8</xdr:col>
      <xdr:colOff>1084022</xdr:colOff>
      <xdr:row>3</xdr:row>
      <xdr:rowOff>776111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1C58108A-732C-A45E-0B33-C351CD232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369260" y="0"/>
          <a:ext cx="4085503" cy="3010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254000</xdr:colOff>
      <xdr:row>1</xdr:row>
      <xdr:rowOff>114300</xdr:rowOff>
    </xdr:from>
    <xdr:to>
      <xdr:col>14</xdr:col>
      <xdr:colOff>0</xdr:colOff>
      <xdr:row>4</xdr:row>
      <xdr:rowOff>459159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41B5F-021F-4973-BBDC-67259F3FF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9600"/>
          <a:ext cx="3873500" cy="1830759"/>
        </a:xfrm>
        <a:prstGeom prst="rect">
          <a:avLst/>
        </a:prstGeom>
      </xdr:spPr>
    </xdr:pic>
    <xdr:clientData/>
  </xdr:twoCellAnchor>
  <xdr:twoCellAnchor editAs="oneCell">
    <xdr:from>
      <xdr:col>9</xdr:col>
      <xdr:colOff>317499</xdr:colOff>
      <xdr:row>7</xdr:row>
      <xdr:rowOff>139700</xdr:rowOff>
    </xdr:from>
    <xdr:to>
      <xdr:col>14</xdr:col>
      <xdr:colOff>32485</xdr:colOff>
      <xdr:row>10</xdr:row>
      <xdr:rowOff>469900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1B7EFB-3A0B-FB06-F0AE-8009B067A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50599" y="3606800"/>
          <a:ext cx="3842486" cy="1816100"/>
        </a:xfrm>
        <a:prstGeom prst="rect">
          <a:avLst/>
        </a:prstGeom>
      </xdr:spPr>
    </xdr:pic>
    <xdr:clientData/>
  </xdr:twoCellAnchor>
  <xdr:twoCellAnchor editAs="oneCell">
    <xdr:from>
      <xdr:col>4</xdr:col>
      <xdr:colOff>1028700</xdr:colOff>
      <xdr:row>13</xdr:row>
      <xdr:rowOff>203200</xdr:rowOff>
    </xdr:from>
    <xdr:to>
      <xdr:col>6</xdr:col>
      <xdr:colOff>990600</xdr:colOff>
      <xdr:row>25</xdr:row>
      <xdr:rowOff>291152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397421-89CC-FCC6-A539-AFAACDA7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6642100"/>
          <a:ext cx="2730500" cy="6031552"/>
        </a:xfrm>
        <a:prstGeom prst="rect">
          <a:avLst/>
        </a:prstGeom>
      </xdr:spPr>
    </xdr:pic>
    <xdr:clientData/>
  </xdr:twoCellAnchor>
  <xdr:twoCellAnchor editAs="oneCell">
    <xdr:from>
      <xdr:col>1</xdr:col>
      <xdr:colOff>977900</xdr:colOff>
      <xdr:row>13</xdr:row>
      <xdr:rowOff>203199</xdr:rowOff>
    </xdr:from>
    <xdr:to>
      <xdr:col>3</xdr:col>
      <xdr:colOff>1092200</xdr:colOff>
      <xdr:row>25</xdr:row>
      <xdr:rowOff>437464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712E67-246B-EAD6-662B-3A3CD782B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3400" y="6642099"/>
          <a:ext cx="2832100" cy="6177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ellxgene.cziscience.com/collections/854c0855-23ad-4362-8b77-6b1639e7a9fc" TargetMode="External"/><Relationship Id="rId3" Type="http://schemas.openxmlformats.org/officeDocument/2006/relationships/hyperlink" Target="https://data.humancellatlas.org/hca-bio-networks/eye/atlases/retina-v1-0" TargetMode="External"/><Relationship Id="rId7" Type="http://schemas.openxmlformats.org/officeDocument/2006/relationships/hyperlink" Target="https://cellxgene.cziscience.com/collections/bcb61471-2a44-4d00-a0af-ff085512674c" TargetMode="External"/><Relationship Id="rId2" Type="http://schemas.openxmlformats.org/officeDocument/2006/relationships/hyperlink" Target="https://brain-map.org/our-research/cell-type-taxonomies/human-mtg-smart-seq-taxonomy" TargetMode="External"/><Relationship Id="rId1" Type="http://schemas.openxmlformats.org/officeDocument/2006/relationships/hyperlink" Target="https://brain-map.org/our-research/cell-type-taxonomies/mammalian-primary-motor-cortex-taxonomy" TargetMode="External"/><Relationship Id="rId6" Type="http://schemas.openxmlformats.org/officeDocument/2006/relationships/hyperlink" Target="https://cellxgene.cziscience.com/collections/48259aa8-f168-4bf5-b797-af8e88da6637" TargetMode="External"/><Relationship Id="rId5" Type="http://schemas.openxmlformats.org/officeDocument/2006/relationships/hyperlink" Target="https://cellxgene.cziscience.com/collections/854c0855-23ad-4362-8b77-6b1639e7a9fc" TargetMode="External"/><Relationship Id="rId4" Type="http://schemas.openxmlformats.org/officeDocument/2006/relationships/hyperlink" Target="https://cellxgene.cziscience.com/collections/0986e4cd-7a58-405d-9b91-4b199bb4124e" TargetMode="External"/><Relationship Id="rId9" Type="http://schemas.openxmlformats.org/officeDocument/2006/relationships/hyperlink" Target="https://data.humancellatlas.org/hca-bio-networks/lung/atlases/lung-v1-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3E06-3160-824D-959C-11671B8C906E}">
  <sheetPr>
    <outlinePr summaryBelow="0" summaryRight="0"/>
  </sheetPr>
  <dimension ref="A1:K19"/>
  <sheetViews>
    <sheetView zoomScale="75" zoomScaleNormal="7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5" sqref="K5"/>
    </sheetView>
  </sheetViews>
  <sheetFormatPr baseColWidth="10" defaultColWidth="12.6640625" defaultRowHeight="39" customHeight="1" x14ac:dyDescent="0.2"/>
  <cols>
    <col min="1" max="1" width="15.33203125" style="47" customWidth="1"/>
    <col min="2" max="2" width="19.33203125" style="46" customWidth="1"/>
    <col min="3" max="3" width="18.33203125" style="46" customWidth="1"/>
    <col min="4" max="4" width="27.1640625" style="46" customWidth="1"/>
    <col min="5" max="5" width="15" style="46" customWidth="1"/>
    <col min="6" max="7" width="21.33203125" style="46" customWidth="1"/>
    <col min="8" max="8" width="25.5" style="46" customWidth="1"/>
    <col min="9" max="9" width="26.1640625" style="46" customWidth="1"/>
    <col min="10" max="10" width="21.33203125" style="46" customWidth="1"/>
    <col min="11" max="11" width="36.83203125" style="46" customWidth="1"/>
    <col min="12" max="16384" width="12.6640625" style="46"/>
  </cols>
  <sheetData>
    <row r="1" spans="1:11" ht="39" customHeight="1" x14ac:dyDescent="0.2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70</v>
      </c>
      <c r="J1" s="72" t="s">
        <v>10</v>
      </c>
      <c r="K1" s="73" t="s">
        <v>134</v>
      </c>
    </row>
    <row r="2" spans="1:11" ht="39" customHeight="1" x14ac:dyDescent="0.2">
      <c r="A2" s="100" t="s">
        <v>12</v>
      </c>
      <c r="B2" s="102" t="s">
        <v>13</v>
      </c>
      <c r="C2" s="96">
        <v>45</v>
      </c>
      <c r="D2" s="96" t="s">
        <v>14</v>
      </c>
      <c r="E2" s="74" t="s">
        <v>15</v>
      </c>
      <c r="F2" s="75">
        <v>49082</v>
      </c>
      <c r="G2" s="75">
        <v>6474</v>
      </c>
      <c r="H2" s="76">
        <f t="shared" ref="H2:H19" si="0">G2/F2</f>
        <v>0.13190171549651603</v>
      </c>
      <c r="I2" s="90">
        <f>G3/G2</f>
        <v>1.2202656780970034E-2</v>
      </c>
      <c r="J2" s="74">
        <v>0.67900000000000005</v>
      </c>
      <c r="K2" s="77">
        <v>622.11</v>
      </c>
    </row>
    <row r="3" spans="1:11" ht="39" customHeight="1" x14ac:dyDescent="0.2">
      <c r="A3" s="101"/>
      <c r="B3" s="93"/>
      <c r="C3" s="95"/>
      <c r="D3" s="95"/>
      <c r="E3" s="48" t="s">
        <v>18</v>
      </c>
      <c r="F3" s="49">
        <v>12128</v>
      </c>
      <c r="G3" s="49">
        <v>79</v>
      </c>
      <c r="H3" s="50">
        <f>G3/F3</f>
        <v>6.5138522427440632E-3</v>
      </c>
      <c r="I3" s="91"/>
      <c r="J3" s="51">
        <v>0.62</v>
      </c>
      <c r="K3" s="78">
        <v>7.26</v>
      </c>
    </row>
    <row r="4" spans="1:11" ht="39" customHeight="1" x14ac:dyDescent="0.2">
      <c r="A4" s="101"/>
      <c r="B4" s="102" t="s">
        <v>21</v>
      </c>
      <c r="C4" s="96">
        <v>42</v>
      </c>
      <c r="D4" s="96" t="s">
        <v>22</v>
      </c>
      <c r="E4" s="74" t="s">
        <v>15</v>
      </c>
      <c r="F4" s="75">
        <v>33604</v>
      </c>
      <c r="G4" s="75">
        <v>4622</v>
      </c>
      <c r="H4" s="76">
        <f t="shared" si="0"/>
        <v>0.13754314962504463</v>
      </c>
      <c r="I4" s="90">
        <f t="shared" ref="I4" si="1">G5/G4</f>
        <v>1.3846819558632626E-2</v>
      </c>
      <c r="J4" s="74">
        <v>0.60599999999999998</v>
      </c>
      <c r="K4" s="77">
        <v>425.64</v>
      </c>
    </row>
    <row r="5" spans="1:11" ht="39" customHeight="1" x14ac:dyDescent="0.2">
      <c r="A5" s="101"/>
      <c r="B5" s="93"/>
      <c r="C5" s="95"/>
      <c r="D5" s="95"/>
      <c r="E5" s="48" t="s">
        <v>18</v>
      </c>
      <c r="F5" s="49">
        <v>14399</v>
      </c>
      <c r="G5" s="49">
        <v>64</v>
      </c>
      <c r="H5" s="50">
        <f t="shared" si="0"/>
        <v>4.4447531078547122E-3</v>
      </c>
      <c r="I5" s="91"/>
      <c r="J5" s="48">
        <v>0.58799999999999997</v>
      </c>
      <c r="K5" s="78">
        <v>5.1100000000000003</v>
      </c>
    </row>
    <row r="6" spans="1:11" ht="39" customHeight="1" x14ac:dyDescent="0.2">
      <c r="A6" s="101"/>
      <c r="B6" s="92" t="s">
        <v>27</v>
      </c>
      <c r="C6" s="94">
        <v>75</v>
      </c>
      <c r="D6" s="94" t="s">
        <v>28</v>
      </c>
      <c r="E6" s="52" t="s">
        <v>15</v>
      </c>
      <c r="F6" s="53">
        <v>33140</v>
      </c>
      <c r="G6" s="53">
        <v>5249</v>
      </c>
      <c r="H6" s="54">
        <f t="shared" si="0"/>
        <v>0.1583886541943271</v>
      </c>
      <c r="I6" s="90">
        <f t="shared" ref="I6" si="2">G7/G6</f>
        <v>3.8674033149171269E-2</v>
      </c>
      <c r="J6" s="52">
        <v>0.56899999999999995</v>
      </c>
      <c r="K6" s="79">
        <v>465.61</v>
      </c>
    </row>
    <row r="7" spans="1:11" ht="39" customHeight="1" x14ac:dyDescent="0.2">
      <c r="A7" s="101"/>
      <c r="B7" s="93"/>
      <c r="C7" s="95"/>
      <c r="D7" s="95"/>
      <c r="E7" s="48" t="s">
        <v>18</v>
      </c>
      <c r="F7" s="49">
        <v>11509</v>
      </c>
      <c r="G7" s="49">
        <v>203</v>
      </c>
      <c r="H7" s="50">
        <f t="shared" si="0"/>
        <v>1.7638369971326787E-2</v>
      </c>
      <c r="I7" s="91"/>
      <c r="J7" s="48">
        <v>0.46500000000000002</v>
      </c>
      <c r="K7" s="78">
        <v>12.81</v>
      </c>
    </row>
    <row r="8" spans="1:11" ht="39" customHeight="1" x14ac:dyDescent="0.2">
      <c r="A8" s="101"/>
      <c r="B8" s="92" t="s">
        <v>33</v>
      </c>
      <c r="C8" s="94">
        <v>29</v>
      </c>
      <c r="D8" s="94" t="s">
        <v>34</v>
      </c>
      <c r="E8" s="52" t="s">
        <v>15</v>
      </c>
      <c r="F8" s="53">
        <v>35659</v>
      </c>
      <c r="G8" s="53">
        <v>3073</v>
      </c>
      <c r="H8" s="54">
        <f t="shared" si="0"/>
        <v>8.6177402619254606E-2</v>
      </c>
      <c r="I8" s="90">
        <f t="shared" ref="I8" si="3">G9/G8</f>
        <v>1.3342011064106736E-2</v>
      </c>
      <c r="J8" s="52">
        <v>0.64700000000000002</v>
      </c>
      <c r="K8" s="79">
        <v>295.41000000000003</v>
      </c>
    </row>
    <row r="9" spans="1:11" ht="39" customHeight="1" x14ac:dyDescent="0.2">
      <c r="A9" s="101"/>
      <c r="B9" s="93"/>
      <c r="C9" s="95"/>
      <c r="D9" s="95"/>
      <c r="E9" s="48" t="s">
        <v>18</v>
      </c>
      <c r="F9" s="49">
        <v>11560</v>
      </c>
      <c r="G9" s="49">
        <v>41</v>
      </c>
      <c r="H9" s="50">
        <f t="shared" si="0"/>
        <v>3.5467128027681662E-3</v>
      </c>
      <c r="I9" s="91"/>
      <c r="J9" s="48">
        <v>0.55100000000000005</v>
      </c>
      <c r="K9" s="78">
        <v>3.17</v>
      </c>
    </row>
    <row r="10" spans="1:11" ht="39" customHeight="1" x14ac:dyDescent="0.2">
      <c r="A10" s="101"/>
      <c r="B10" s="96" t="s">
        <v>39</v>
      </c>
      <c r="C10" s="96">
        <v>61</v>
      </c>
      <c r="D10" s="96" t="s">
        <v>40</v>
      </c>
      <c r="E10" s="74" t="s">
        <v>15</v>
      </c>
      <c r="F10" s="75">
        <v>27402</v>
      </c>
      <c r="G10" s="75">
        <v>5288</v>
      </c>
      <c r="H10" s="76">
        <f t="shared" si="0"/>
        <v>0.19297861469965696</v>
      </c>
      <c r="I10" s="98">
        <f t="shared" ref="I10" si="4">G11/G10</f>
        <v>1.5695915279878972E-2</v>
      </c>
      <c r="J10" s="74">
        <v>0.58499999999999996</v>
      </c>
      <c r="K10" s="77">
        <v>461.93</v>
      </c>
    </row>
    <row r="11" spans="1:11" ht="39" customHeight="1" thickBot="1" x14ac:dyDescent="0.25">
      <c r="A11" s="101"/>
      <c r="B11" s="97"/>
      <c r="C11" s="97"/>
      <c r="D11" s="97"/>
      <c r="E11" s="80" t="s">
        <v>18</v>
      </c>
      <c r="F11" s="81">
        <v>8744</v>
      </c>
      <c r="G11" s="81">
        <v>83</v>
      </c>
      <c r="H11" s="82">
        <f t="shared" si="0"/>
        <v>9.4922232387923151E-3</v>
      </c>
      <c r="I11" s="99"/>
      <c r="J11" s="80">
        <v>0.45300000000000001</v>
      </c>
      <c r="K11" s="83">
        <v>4.78</v>
      </c>
    </row>
    <row r="12" spans="1:11" ht="39" customHeight="1" x14ac:dyDescent="0.2">
      <c r="A12" s="103" t="s">
        <v>45</v>
      </c>
      <c r="B12" s="105" t="s">
        <v>46</v>
      </c>
      <c r="C12" s="106">
        <v>127</v>
      </c>
      <c r="D12" s="106" t="s">
        <v>47</v>
      </c>
      <c r="E12" s="55" t="s">
        <v>15</v>
      </c>
      <c r="F12" s="56">
        <v>30751</v>
      </c>
      <c r="G12" s="56">
        <v>8723</v>
      </c>
      <c r="H12" s="57">
        <f t="shared" si="0"/>
        <v>0.28366557185132191</v>
      </c>
      <c r="I12" s="90">
        <f t="shared" ref="I12" si="5">G13/G12</f>
        <v>3.0035538232259545E-2</v>
      </c>
      <c r="J12" s="55">
        <v>0.629</v>
      </c>
      <c r="K12" s="84">
        <v>651.53</v>
      </c>
    </row>
    <row r="13" spans="1:11" ht="39" customHeight="1" x14ac:dyDescent="0.2">
      <c r="A13" s="101"/>
      <c r="B13" s="93"/>
      <c r="C13" s="95"/>
      <c r="D13" s="95"/>
      <c r="E13" s="48" t="s">
        <v>18</v>
      </c>
      <c r="F13" s="49">
        <v>2032</v>
      </c>
      <c r="G13" s="49">
        <v>262</v>
      </c>
      <c r="H13" s="50">
        <f t="shared" si="0"/>
        <v>0.12893700787401574</v>
      </c>
      <c r="I13" s="91"/>
      <c r="J13" s="48">
        <v>0.60099999999999998</v>
      </c>
      <c r="K13" s="78">
        <v>22.03</v>
      </c>
    </row>
    <row r="14" spans="1:11" ht="39" customHeight="1" x14ac:dyDescent="0.2">
      <c r="A14" s="101"/>
      <c r="B14" s="92" t="s">
        <v>52</v>
      </c>
      <c r="C14" s="94">
        <v>75</v>
      </c>
      <c r="D14" s="94" t="s">
        <v>53</v>
      </c>
      <c r="E14" s="52" t="s">
        <v>15</v>
      </c>
      <c r="F14" s="53">
        <v>30751</v>
      </c>
      <c r="G14" s="53">
        <v>11529</v>
      </c>
      <c r="H14" s="54">
        <f t="shared" si="0"/>
        <v>0.37491463692237653</v>
      </c>
      <c r="I14" s="90">
        <f t="shared" ref="I14" si="6">G15/G14</f>
        <v>3.3480787579148234E-2</v>
      </c>
      <c r="J14" s="52">
        <v>0.754</v>
      </c>
      <c r="K14" s="79">
        <v>750.94</v>
      </c>
    </row>
    <row r="15" spans="1:11" ht="39" customHeight="1" x14ac:dyDescent="0.2">
      <c r="A15" s="101"/>
      <c r="B15" s="93"/>
      <c r="C15" s="95"/>
      <c r="D15" s="95"/>
      <c r="E15" s="48" t="s">
        <v>18</v>
      </c>
      <c r="F15" s="49">
        <v>2032</v>
      </c>
      <c r="G15" s="49">
        <v>386</v>
      </c>
      <c r="H15" s="50">
        <f t="shared" si="0"/>
        <v>0.18996062992125984</v>
      </c>
      <c r="I15" s="91"/>
      <c r="J15" s="48">
        <v>0.72599999999999998</v>
      </c>
      <c r="K15" s="78">
        <v>32.65</v>
      </c>
    </row>
    <row r="16" spans="1:11" ht="39" customHeight="1" x14ac:dyDescent="0.2">
      <c r="A16" s="101"/>
      <c r="B16" s="92" t="s">
        <v>58</v>
      </c>
      <c r="C16" s="94">
        <v>123</v>
      </c>
      <c r="D16" s="94" t="s">
        <v>59</v>
      </c>
      <c r="E16" s="52" t="s">
        <v>15</v>
      </c>
      <c r="F16" s="53">
        <v>35475</v>
      </c>
      <c r="G16" s="53">
        <v>6925</v>
      </c>
      <c r="H16" s="54">
        <f t="shared" si="0"/>
        <v>0.1952078928823115</v>
      </c>
      <c r="I16" s="90">
        <f t="shared" ref="I16" si="7">G17/G16</f>
        <v>0.10151624548736463</v>
      </c>
      <c r="J16" s="52">
        <v>0.621</v>
      </c>
      <c r="K16" s="79">
        <v>590.61</v>
      </c>
    </row>
    <row r="17" spans="1:11" ht="39" customHeight="1" x14ac:dyDescent="0.2">
      <c r="A17" s="101"/>
      <c r="B17" s="93"/>
      <c r="C17" s="95"/>
      <c r="D17" s="95"/>
      <c r="E17" s="48" t="s">
        <v>18</v>
      </c>
      <c r="F17" s="49">
        <v>15491</v>
      </c>
      <c r="G17" s="49">
        <v>703</v>
      </c>
      <c r="H17" s="50">
        <f t="shared" si="0"/>
        <v>4.5381189077528888E-2</v>
      </c>
      <c r="I17" s="91"/>
      <c r="J17" s="51">
        <v>0.54</v>
      </c>
      <c r="K17" s="78">
        <v>56.54</v>
      </c>
    </row>
    <row r="18" spans="1:11" ht="39" customHeight="1" x14ac:dyDescent="0.2">
      <c r="A18" s="101"/>
      <c r="B18" s="96" t="s">
        <v>64</v>
      </c>
      <c r="C18" s="96">
        <v>43</v>
      </c>
      <c r="D18" s="96" t="s">
        <v>65</v>
      </c>
      <c r="E18" s="74" t="s">
        <v>15</v>
      </c>
      <c r="F18" s="75">
        <v>35467</v>
      </c>
      <c r="G18" s="75">
        <v>8425</v>
      </c>
      <c r="H18" s="76">
        <f t="shared" si="0"/>
        <v>0.23754475991766993</v>
      </c>
      <c r="I18" s="90">
        <f t="shared" ref="I18" si="8">G19/G18</f>
        <v>8.3442136498516326E-2</v>
      </c>
      <c r="J18" s="74">
        <v>0.75600000000000001</v>
      </c>
      <c r="K18" s="77">
        <v>515.17999999999995</v>
      </c>
    </row>
    <row r="19" spans="1:11" ht="39" customHeight="1" thickBot="1" x14ac:dyDescent="0.25">
      <c r="A19" s="104"/>
      <c r="B19" s="107"/>
      <c r="C19" s="107"/>
      <c r="D19" s="107"/>
      <c r="E19" s="85" t="s">
        <v>18</v>
      </c>
      <c r="F19" s="86">
        <v>15488</v>
      </c>
      <c r="G19" s="86">
        <v>703</v>
      </c>
      <c r="H19" s="87">
        <f t="shared" si="0"/>
        <v>4.5389979338842978E-2</v>
      </c>
      <c r="I19" s="108"/>
      <c r="J19" s="85">
        <v>0.68799999999999994</v>
      </c>
      <c r="K19" s="88">
        <v>61.62</v>
      </c>
    </row>
  </sheetData>
  <mergeCells count="38">
    <mergeCell ref="A12:A19"/>
    <mergeCell ref="B12:B13"/>
    <mergeCell ref="C12:C13"/>
    <mergeCell ref="D12:D13"/>
    <mergeCell ref="I12:I13"/>
    <mergeCell ref="B14:B15"/>
    <mergeCell ref="B18:B19"/>
    <mergeCell ref="C18:C19"/>
    <mergeCell ref="D18:D19"/>
    <mergeCell ref="I18:I19"/>
    <mergeCell ref="C14:C15"/>
    <mergeCell ref="D14:D15"/>
    <mergeCell ref="I14:I15"/>
    <mergeCell ref="B16:B17"/>
    <mergeCell ref="C16:C17"/>
    <mergeCell ref="D16:D17"/>
    <mergeCell ref="A2:A11"/>
    <mergeCell ref="B2:B3"/>
    <mergeCell ref="C2:C3"/>
    <mergeCell ref="D2:D3"/>
    <mergeCell ref="I2:I3"/>
    <mergeCell ref="B4:B5"/>
    <mergeCell ref="C4:C5"/>
    <mergeCell ref="D4:D5"/>
    <mergeCell ref="I4:I5"/>
    <mergeCell ref="B6:B7"/>
    <mergeCell ref="C6:C7"/>
    <mergeCell ref="D6:D7"/>
    <mergeCell ref="I6:I7"/>
    <mergeCell ref="I16:I17"/>
    <mergeCell ref="B8:B9"/>
    <mergeCell ref="C8:C9"/>
    <mergeCell ref="D8:D9"/>
    <mergeCell ref="I8:I9"/>
    <mergeCell ref="B10:B11"/>
    <mergeCell ref="C10:C11"/>
    <mergeCell ref="D10:D11"/>
    <mergeCell ref="I10:I1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325F-DDDB-694D-96CB-E5EB6BC8D645}">
  <dimension ref="A1:Q14"/>
  <sheetViews>
    <sheetView workbookViewId="0">
      <selection activeCell="A8" sqref="A8:F9"/>
    </sheetView>
  </sheetViews>
  <sheetFormatPr baseColWidth="10" defaultColWidth="19.83203125" defaultRowHeight="65" customHeight="1" x14ac:dyDescent="0.15"/>
  <cols>
    <col min="1" max="3" width="19.83203125" style="30"/>
    <col min="4" max="4" width="23" style="30" customWidth="1"/>
    <col min="5" max="16384" width="19.83203125" style="30"/>
  </cols>
  <sheetData>
    <row r="1" spans="1:17" ht="46" customHeight="1" x14ac:dyDescent="0.15">
      <c r="A1" s="89" t="s">
        <v>107</v>
      </c>
      <c r="B1" s="89"/>
      <c r="C1" s="89"/>
      <c r="D1" s="89"/>
      <c r="E1" s="89"/>
      <c r="F1" s="89"/>
    </row>
    <row r="2" spans="1:17" ht="65" customHeight="1" x14ac:dyDescent="0.15">
      <c r="A2" s="36" t="s">
        <v>137</v>
      </c>
      <c r="B2" s="36" t="s">
        <v>89</v>
      </c>
      <c r="C2" s="36" t="s">
        <v>136</v>
      </c>
      <c r="D2" s="36" t="s">
        <v>92</v>
      </c>
      <c r="E2" s="36" t="s">
        <v>123</v>
      </c>
      <c r="F2" s="36" t="s">
        <v>135</v>
      </c>
      <c r="N2" s="29"/>
      <c r="Q2" s="29"/>
    </row>
    <row r="3" spans="1:17" ht="65" customHeight="1" x14ac:dyDescent="0.15">
      <c r="A3" s="37" t="s">
        <v>45</v>
      </c>
      <c r="B3" s="37" t="s">
        <v>96</v>
      </c>
      <c r="C3" s="38" t="s">
        <v>99</v>
      </c>
      <c r="D3" s="37" t="s">
        <v>105</v>
      </c>
      <c r="E3" s="39">
        <v>-2.3632E-2</v>
      </c>
      <c r="F3" s="39">
        <v>-2.0580000000000001E-2</v>
      </c>
      <c r="H3"/>
    </row>
    <row r="4" spans="1:17" ht="65" customHeight="1" x14ac:dyDescent="0.15">
      <c r="A4" s="37" t="s">
        <v>12</v>
      </c>
      <c r="B4" s="37" t="s">
        <v>97</v>
      </c>
      <c r="C4" s="38" t="s">
        <v>100</v>
      </c>
      <c r="D4" s="37" t="s">
        <v>106</v>
      </c>
      <c r="E4" s="39">
        <v>0.23336000000000001</v>
      </c>
      <c r="F4" s="39">
        <v>0.18482899999999999</v>
      </c>
    </row>
    <row r="6" spans="1:17" ht="65" customHeight="1" x14ac:dyDescent="0.15">
      <c r="A6" s="89" t="s">
        <v>108</v>
      </c>
      <c r="B6" s="89"/>
      <c r="C6" s="89"/>
      <c r="D6" s="89"/>
      <c r="E6" s="89"/>
      <c r="F6" s="89"/>
    </row>
    <row r="7" spans="1:17" ht="65" customHeight="1" x14ac:dyDescent="0.15">
      <c r="A7" s="40" t="s">
        <v>137</v>
      </c>
      <c r="B7" s="40" t="s">
        <v>89</v>
      </c>
      <c r="C7" s="40" t="s">
        <v>90</v>
      </c>
      <c r="D7" s="40" t="s">
        <v>92</v>
      </c>
      <c r="E7" s="40" t="s">
        <v>123</v>
      </c>
      <c r="F7" s="40" t="s">
        <v>135</v>
      </c>
    </row>
    <row r="8" spans="1:17" ht="65" customHeight="1" x14ac:dyDescent="0.15">
      <c r="A8" s="41" t="s">
        <v>45</v>
      </c>
      <c r="B8" s="41" t="s">
        <v>110</v>
      </c>
      <c r="C8" s="42" t="s">
        <v>113</v>
      </c>
      <c r="D8" s="41" t="s">
        <v>119</v>
      </c>
      <c r="E8" s="43">
        <v>0.180894</v>
      </c>
      <c r="F8" s="43">
        <v>0.22758300000000001</v>
      </c>
    </row>
    <row r="9" spans="1:17" ht="65" customHeight="1" x14ac:dyDescent="0.15">
      <c r="A9" s="41" t="s">
        <v>12</v>
      </c>
      <c r="B9" s="41" t="s">
        <v>111</v>
      </c>
      <c r="C9" s="42" t="s">
        <v>114</v>
      </c>
      <c r="D9" s="41" t="s">
        <v>120</v>
      </c>
      <c r="E9" s="43">
        <v>-2.4444E-2</v>
      </c>
      <c r="F9" s="43">
        <v>-3.1888E-2</v>
      </c>
    </row>
    <row r="11" spans="1:17" ht="65" customHeight="1" x14ac:dyDescent="0.15">
      <c r="B11" s="35"/>
      <c r="C11" s="35"/>
      <c r="D11" s="35"/>
    </row>
    <row r="12" spans="1:17" ht="65" customHeight="1" x14ac:dyDescent="0.15">
      <c r="B12" s="34"/>
      <c r="C12" s="34"/>
      <c r="D12" s="34"/>
    </row>
    <row r="13" spans="1:17" ht="65" customHeight="1" x14ac:dyDescent="0.15">
      <c r="B13" s="34"/>
      <c r="C13" s="34"/>
      <c r="D13" s="34"/>
    </row>
    <row r="14" spans="1:17" ht="65" customHeight="1" x14ac:dyDescent="0.15">
      <c r="B14" s="34"/>
      <c r="C14" s="34"/>
      <c r="D14" s="34"/>
    </row>
  </sheetData>
  <mergeCells count="2">
    <mergeCell ref="A1:F1"/>
    <mergeCell ref="A6:F6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9"/>
  <sheetViews>
    <sheetView zoomScale="75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E19"/>
    </sheetView>
  </sheetViews>
  <sheetFormatPr baseColWidth="10" defaultColWidth="12.6640625" defaultRowHeight="42" customHeight="1" x14ac:dyDescent="0.15"/>
  <cols>
    <col min="1" max="1" width="11.33203125" style="14" customWidth="1"/>
    <col min="2" max="2" width="13.5" style="8" customWidth="1"/>
    <col min="3" max="4" width="12.1640625" style="8" customWidth="1"/>
    <col min="5" max="5" width="18.1640625" style="8" customWidth="1"/>
    <col min="6" max="6" width="15" style="8" customWidth="1"/>
    <col min="7" max="14" width="21.33203125" style="8" customWidth="1"/>
    <col min="15" max="16384" width="12.6640625" style="8"/>
  </cols>
  <sheetData>
    <row r="1" spans="1:14" ht="42" customHeight="1" x14ac:dyDescent="0.15">
      <c r="A1" s="13" t="s">
        <v>0</v>
      </c>
      <c r="B1" s="1" t="s">
        <v>1</v>
      </c>
      <c r="C1" s="1" t="s">
        <v>2</v>
      </c>
      <c r="D1" s="1" t="s">
        <v>126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1" t="s">
        <v>70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42" customHeight="1" x14ac:dyDescent="0.15">
      <c r="A2" s="113" t="s">
        <v>12</v>
      </c>
      <c r="B2" s="115" t="s">
        <v>13</v>
      </c>
      <c r="C2" s="117">
        <v>45</v>
      </c>
      <c r="D2" s="117" t="s">
        <v>14</v>
      </c>
      <c r="E2" s="117" t="s">
        <v>14</v>
      </c>
      <c r="F2" s="2" t="s">
        <v>15</v>
      </c>
      <c r="G2" s="3">
        <v>49082</v>
      </c>
      <c r="H2" s="3">
        <v>6474</v>
      </c>
      <c r="I2" s="4">
        <f t="shared" ref="I2:I19" si="0">H2/G2</f>
        <v>0.13190171549651603</v>
      </c>
      <c r="J2" s="111">
        <f>H3/H2</f>
        <v>1.2202656780970034E-2</v>
      </c>
      <c r="K2" s="2" t="s">
        <v>16</v>
      </c>
      <c r="L2" s="2" t="s">
        <v>17</v>
      </c>
      <c r="M2" s="2">
        <v>0.67900000000000005</v>
      </c>
      <c r="N2" s="2">
        <v>622.11</v>
      </c>
    </row>
    <row r="3" spans="1:14" ht="42" customHeight="1" x14ac:dyDescent="0.15">
      <c r="A3" s="114"/>
      <c r="B3" s="116"/>
      <c r="C3" s="110"/>
      <c r="D3" s="119"/>
      <c r="E3" s="110"/>
      <c r="F3" s="9" t="s">
        <v>18</v>
      </c>
      <c r="G3" s="10">
        <v>12128</v>
      </c>
      <c r="H3" s="10">
        <v>79</v>
      </c>
      <c r="I3" s="11">
        <f t="shared" si="0"/>
        <v>6.5138522427440632E-3</v>
      </c>
      <c r="J3" s="112"/>
      <c r="K3" s="9" t="s">
        <v>19</v>
      </c>
      <c r="L3" s="9" t="s">
        <v>20</v>
      </c>
      <c r="M3" s="12">
        <v>0.62</v>
      </c>
      <c r="N3" s="9">
        <v>7.26</v>
      </c>
    </row>
    <row r="4" spans="1:14" ht="42" customHeight="1" x14ac:dyDescent="0.15">
      <c r="A4" s="114"/>
      <c r="B4" s="115" t="s">
        <v>21</v>
      </c>
      <c r="C4" s="117">
        <v>42</v>
      </c>
      <c r="D4" s="109" t="s">
        <v>128</v>
      </c>
      <c r="E4" s="117" t="s">
        <v>22</v>
      </c>
      <c r="F4" s="2" t="s">
        <v>15</v>
      </c>
      <c r="G4" s="3">
        <v>33604</v>
      </c>
      <c r="H4" s="3">
        <v>4622</v>
      </c>
      <c r="I4" s="4">
        <f t="shared" si="0"/>
        <v>0.13754314962504463</v>
      </c>
      <c r="J4" s="111">
        <f t="shared" ref="J4" si="1">H5/H4</f>
        <v>1.3846819558632626E-2</v>
      </c>
      <c r="K4" s="2" t="s">
        <v>23</v>
      </c>
      <c r="L4" s="2" t="s">
        <v>24</v>
      </c>
      <c r="M4" s="2">
        <v>0.60599999999999998</v>
      </c>
      <c r="N4" s="2">
        <v>425.64</v>
      </c>
    </row>
    <row r="5" spans="1:14" ht="42" customHeight="1" x14ac:dyDescent="0.15">
      <c r="A5" s="114"/>
      <c r="B5" s="116"/>
      <c r="C5" s="110"/>
      <c r="D5" s="119"/>
      <c r="E5" s="110"/>
      <c r="F5" s="9" t="s">
        <v>18</v>
      </c>
      <c r="G5" s="10">
        <v>14399</v>
      </c>
      <c r="H5" s="10">
        <v>64</v>
      </c>
      <c r="I5" s="11">
        <f t="shared" si="0"/>
        <v>4.4447531078547122E-3</v>
      </c>
      <c r="J5" s="112"/>
      <c r="K5" s="9" t="s">
        <v>25</v>
      </c>
      <c r="L5" s="9" t="s">
        <v>26</v>
      </c>
      <c r="M5" s="9">
        <v>0.58799999999999997</v>
      </c>
      <c r="N5" s="9">
        <v>5.1100000000000003</v>
      </c>
    </row>
    <row r="6" spans="1:14" ht="42" customHeight="1" x14ac:dyDescent="0.15">
      <c r="A6" s="114"/>
      <c r="B6" s="123" t="s">
        <v>27</v>
      </c>
      <c r="C6" s="109">
        <v>75</v>
      </c>
      <c r="D6" s="109" t="s">
        <v>129</v>
      </c>
      <c r="E6" s="109" t="s">
        <v>28</v>
      </c>
      <c r="F6" s="18" t="s">
        <v>15</v>
      </c>
      <c r="G6" s="19">
        <v>33140</v>
      </c>
      <c r="H6" s="19">
        <v>5249</v>
      </c>
      <c r="I6" s="20">
        <f t="shared" si="0"/>
        <v>0.1583886541943271</v>
      </c>
      <c r="J6" s="111">
        <f t="shared" ref="J6" si="2">H7/H6</f>
        <v>3.8674033149171269E-2</v>
      </c>
      <c r="K6" s="18" t="s">
        <v>29</v>
      </c>
      <c r="L6" s="18" t="s">
        <v>30</v>
      </c>
      <c r="M6" s="18">
        <v>0.56899999999999995</v>
      </c>
      <c r="N6" s="18">
        <v>465.61</v>
      </c>
    </row>
    <row r="7" spans="1:14" ht="42" customHeight="1" x14ac:dyDescent="0.15">
      <c r="A7" s="114"/>
      <c r="B7" s="116"/>
      <c r="C7" s="110"/>
      <c r="D7" s="119"/>
      <c r="E7" s="110"/>
      <c r="F7" s="9" t="s">
        <v>18</v>
      </c>
      <c r="G7" s="10">
        <v>11509</v>
      </c>
      <c r="H7" s="10">
        <v>203</v>
      </c>
      <c r="I7" s="11">
        <f t="shared" si="0"/>
        <v>1.7638369971326787E-2</v>
      </c>
      <c r="J7" s="112"/>
      <c r="K7" s="9" t="s">
        <v>31</v>
      </c>
      <c r="L7" s="9" t="s">
        <v>32</v>
      </c>
      <c r="M7" s="9">
        <v>0.46500000000000002</v>
      </c>
      <c r="N7" s="9">
        <v>12.81</v>
      </c>
    </row>
    <row r="8" spans="1:14" ht="42" customHeight="1" x14ac:dyDescent="0.15">
      <c r="A8" s="114"/>
      <c r="B8" s="123" t="s">
        <v>33</v>
      </c>
      <c r="C8" s="109">
        <v>29</v>
      </c>
      <c r="D8" s="109" t="s">
        <v>130</v>
      </c>
      <c r="E8" s="109" t="s">
        <v>34</v>
      </c>
      <c r="F8" s="18" t="s">
        <v>15</v>
      </c>
      <c r="G8" s="19">
        <v>35659</v>
      </c>
      <c r="H8" s="19">
        <v>3073</v>
      </c>
      <c r="I8" s="20">
        <f t="shared" si="0"/>
        <v>8.6177402619254606E-2</v>
      </c>
      <c r="J8" s="111">
        <f t="shared" ref="J8" si="3">H9/H8</f>
        <v>1.3342011064106736E-2</v>
      </c>
      <c r="K8" s="18" t="s">
        <v>35</v>
      </c>
      <c r="L8" s="18" t="s">
        <v>36</v>
      </c>
      <c r="M8" s="18">
        <v>0.64700000000000002</v>
      </c>
      <c r="N8" s="18">
        <v>295.41000000000003</v>
      </c>
    </row>
    <row r="9" spans="1:14" ht="42" customHeight="1" x14ac:dyDescent="0.15">
      <c r="A9" s="114"/>
      <c r="B9" s="116"/>
      <c r="C9" s="110"/>
      <c r="D9" s="119"/>
      <c r="E9" s="110"/>
      <c r="F9" s="9" t="s">
        <v>18</v>
      </c>
      <c r="G9" s="10">
        <v>11560</v>
      </c>
      <c r="H9" s="10">
        <v>41</v>
      </c>
      <c r="I9" s="11">
        <f t="shared" si="0"/>
        <v>3.5467128027681662E-3</v>
      </c>
      <c r="J9" s="112"/>
      <c r="K9" s="9" t="s">
        <v>37</v>
      </c>
      <c r="L9" s="9" t="s">
        <v>38</v>
      </c>
      <c r="M9" s="9">
        <v>0.55100000000000005</v>
      </c>
      <c r="N9" s="9">
        <v>3.17</v>
      </c>
    </row>
    <row r="10" spans="1:14" x14ac:dyDescent="0.15">
      <c r="A10" s="114"/>
      <c r="B10" s="117" t="s">
        <v>39</v>
      </c>
      <c r="C10" s="117">
        <v>61</v>
      </c>
      <c r="D10" s="109" t="s">
        <v>127</v>
      </c>
      <c r="E10" s="117" t="s">
        <v>40</v>
      </c>
      <c r="F10" s="2" t="s">
        <v>15</v>
      </c>
      <c r="G10" s="3">
        <v>27402</v>
      </c>
      <c r="H10" s="3">
        <v>5288</v>
      </c>
      <c r="I10" s="4">
        <f t="shared" si="0"/>
        <v>0.19297861469965696</v>
      </c>
      <c r="J10" s="125">
        <f t="shared" ref="J10" si="4">H11/H10</f>
        <v>1.5695915279878972E-2</v>
      </c>
      <c r="K10" s="2" t="s">
        <v>41</v>
      </c>
      <c r="L10" s="2" t="s">
        <v>42</v>
      </c>
      <c r="M10" s="2">
        <v>0.58499999999999996</v>
      </c>
      <c r="N10" s="2">
        <v>461.93</v>
      </c>
    </row>
    <row r="11" spans="1:14" ht="42" customHeight="1" thickBot="1" x14ac:dyDescent="0.2">
      <c r="A11" s="114"/>
      <c r="B11" s="118"/>
      <c r="C11" s="118"/>
      <c r="D11" s="127"/>
      <c r="E11" s="118"/>
      <c r="F11" s="5" t="s">
        <v>18</v>
      </c>
      <c r="G11" s="6">
        <v>8744</v>
      </c>
      <c r="H11" s="6">
        <v>83</v>
      </c>
      <c r="I11" s="7">
        <f t="shared" si="0"/>
        <v>9.4922232387923151E-3</v>
      </c>
      <c r="J11" s="126"/>
      <c r="K11" s="5" t="s">
        <v>43</v>
      </c>
      <c r="L11" s="5" t="s">
        <v>44</v>
      </c>
      <c r="M11" s="5">
        <v>0.45300000000000001</v>
      </c>
      <c r="N11" s="5">
        <v>4.78</v>
      </c>
    </row>
    <row r="12" spans="1:14" ht="42" customHeight="1" x14ac:dyDescent="0.15">
      <c r="A12" s="120" t="s">
        <v>45</v>
      </c>
      <c r="B12" s="122" t="s">
        <v>46</v>
      </c>
      <c r="C12" s="124">
        <v>127</v>
      </c>
      <c r="D12" s="124" t="s">
        <v>47</v>
      </c>
      <c r="E12" s="124" t="s">
        <v>47</v>
      </c>
      <c r="F12" s="15" t="s">
        <v>15</v>
      </c>
      <c r="G12" s="16">
        <v>30751</v>
      </c>
      <c r="H12" s="16">
        <v>8723</v>
      </c>
      <c r="I12" s="17">
        <f t="shared" si="0"/>
        <v>0.28366557185132191</v>
      </c>
      <c r="J12" s="111">
        <f t="shared" ref="J12" si="5">H13/H12</f>
        <v>3.0035538232259545E-2</v>
      </c>
      <c r="K12" s="15" t="s">
        <v>48</v>
      </c>
      <c r="L12" s="15" t="s">
        <v>49</v>
      </c>
      <c r="M12" s="15">
        <v>0.629</v>
      </c>
      <c r="N12" s="15">
        <v>651.53</v>
      </c>
    </row>
    <row r="13" spans="1:14" ht="42" customHeight="1" x14ac:dyDescent="0.15">
      <c r="A13" s="114"/>
      <c r="B13" s="116"/>
      <c r="C13" s="110"/>
      <c r="D13" s="119"/>
      <c r="E13" s="110"/>
      <c r="F13" s="9" t="s">
        <v>18</v>
      </c>
      <c r="G13" s="10">
        <v>2032</v>
      </c>
      <c r="H13" s="10">
        <v>262</v>
      </c>
      <c r="I13" s="11">
        <f t="shared" si="0"/>
        <v>0.12893700787401574</v>
      </c>
      <c r="J13" s="112"/>
      <c r="K13" s="9" t="s">
        <v>50</v>
      </c>
      <c r="L13" s="9" t="s">
        <v>51</v>
      </c>
      <c r="M13" s="9">
        <v>0.60099999999999998</v>
      </c>
      <c r="N13" s="9">
        <v>22.03</v>
      </c>
    </row>
    <row r="14" spans="1:14" ht="42" customHeight="1" x14ac:dyDescent="0.15">
      <c r="A14" s="114"/>
      <c r="B14" s="123" t="s">
        <v>52</v>
      </c>
      <c r="C14" s="109">
        <v>75</v>
      </c>
      <c r="D14" s="109" t="s">
        <v>131</v>
      </c>
      <c r="E14" s="109" t="s">
        <v>53</v>
      </c>
      <c r="F14" s="18" t="s">
        <v>15</v>
      </c>
      <c r="G14" s="19">
        <v>30751</v>
      </c>
      <c r="H14" s="19">
        <v>11529</v>
      </c>
      <c r="I14" s="20">
        <f t="shared" si="0"/>
        <v>0.37491463692237653</v>
      </c>
      <c r="J14" s="111">
        <f t="shared" ref="J14" si="6">H15/H14</f>
        <v>3.3480787579148234E-2</v>
      </c>
      <c r="K14" s="18" t="s">
        <v>54</v>
      </c>
      <c r="L14" s="18" t="s">
        <v>55</v>
      </c>
      <c r="M14" s="18">
        <v>0.754</v>
      </c>
      <c r="N14" s="18">
        <v>750.94</v>
      </c>
    </row>
    <row r="15" spans="1:14" ht="42" customHeight="1" x14ac:dyDescent="0.15">
      <c r="A15" s="114"/>
      <c r="B15" s="116"/>
      <c r="C15" s="110"/>
      <c r="D15" s="119"/>
      <c r="E15" s="110"/>
      <c r="F15" s="9" t="s">
        <v>18</v>
      </c>
      <c r="G15" s="10">
        <v>2032</v>
      </c>
      <c r="H15" s="10">
        <v>386</v>
      </c>
      <c r="I15" s="11">
        <f t="shared" si="0"/>
        <v>0.18996062992125984</v>
      </c>
      <c r="J15" s="112"/>
      <c r="K15" s="9" t="s">
        <v>56</v>
      </c>
      <c r="L15" s="9" t="s">
        <v>57</v>
      </c>
      <c r="M15" s="9">
        <v>0.72599999999999998</v>
      </c>
      <c r="N15" s="9">
        <v>32.65</v>
      </c>
    </row>
    <row r="16" spans="1:14" ht="42" customHeight="1" x14ac:dyDescent="0.15">
      <c r="A16" s="114"/>
      <c r="B16" s="123" t="s">
        <v>58</v>
      </c>
      <c r="C16" s="109">
        <v>123</v>
      </c>
      <c r="D16" s="109" t="s">
        <v>132</v>
      </c>
      <c r="E16" s="109" t="s">
        <v>59</v>
      </c>
      <c r="F16" s="18" t="s">
        <v>15</v>
      </c>
      <c r="G16" s="19">
        <v>35475</v>
      </c>
      <c r="H16" s="19">
        <v>6925</v>
      </c>
      <c r="I16" s="20">
        <f t="shared" si="0"/>
        <v>0.1952078928823115</v>
      </c>
      <c r="J16" s="111">
        <f t="shared" ref="J16" si="7">H17/H16</f>
        <v>0.10151624548736463</v>
      </c>
      <c r="K16" s="18" t="s">
        <v>60</v>
      </c>
      <c r="L16" s="18" t="s">
        <v>61</v>
      </c>
      <c r="M16" s="18">
        <v>0.621</v>
      </c>
      <c r="N16" s="18">
        <v>590.61</v>
      </c>
    </row>
    <row r="17" spans="1:14" ht="42" customHeight="1" x14ac:dyDescent="0.15">
      <c r="A17" s="114"/>
      <c r="B17" s="116"/>
      <c r="C17" s="110"/>
      <c r="D17" s="119"/>
      <c r="E17" s="110"/>
      <c r="F17" s="9" t="s">
        <v>18</v>
      </c>
      <c r="G17" s="10">
        <v>15491</v>
      </c>
      <c r="H17" s="10">
        <v>703</v>
      </c>
      <c r="I17" s="11">
        <f t="shared" si="0"/>
        <v>4.5381189077528888E-2</v>
      </c>
      <c r="J17" s="112"/>
      <c r="K17" s="9" t="s">
        <v>62</v>
      </c>
      <c r="L17" s="9" t="s">
        <v>63</v>
      </c>
      <c r="M17" s="12">
        <v>0.54</v>
      </c>
      <c r="N17" s="9">
        <v>56.54</v>
      </c>
    </row>
    <row r="18" spans="1:14" ht="42" customHeight="1" x14ac:dyDescent="0.15">
      <c r="A18" s="114"/>
      <c r="B18" s="117" t="s">
        <v>64</v>
      </c>
      <c r="C18" s="117">
        <v>43</v>
      </c>
      <c r="D18" s="109" t="s">
        <v>133</v>
      </c>
      <c r="E18" s="117" t="s">
        <v>65</v>
      </c>
      <c r="F18" s="2" t="s">
        <v>15</v>
      </c>
      <c r="G18" s="3">
        <v>35467</v>
      </c>
      <c r="H18" s="3">
        <v>8425</v>
      </c>
      <c r="I18" s="4">
        <f t="shared" si="0"/>
        <v>0.23754475991766993</v>
      </c>
      <c r="J18" s="111">
        <f t="shared" ref="J18" si="8">H19/H18</f>
        <v>8.3442136498516326E-2</v>
      </c>
      <c r="K18" s="2" t="s">
        <v>66</v>
      </c>
      <c r="L18" s="2" t="s">
        <v>67</v>
      </c>
      <c r="M18" s="2">
        <v>0.75600000000000001</v>
      </c>
      <c r="N18" s="2">
        <v>515.17999999999995</v>
      </c>
    </row>
    <row r="19" spans="1:14" ht="42" customHeight="1" x14ac:dyDescent="0.15">
      <c r="A19" s="121"/>
      <c r="B19" s="110"/>
      <c r="C19" s="110"/>
      <c r="D19" s="119"/>
      <c r="E19" s="110"/>
      <c r="F19" s="9" t="s">
        <v>18</v>
      </c>
      <c r="G19" s="10">
        <v>15488</v>
      </c>
      <c r="H19" s="10">
        <v>703</v>
      </c>
      <c r="I19" s="11">
        <f t="shared" si="0"/>
        <v>4.5389979338842978E-2</v>
      </c>
      <c r="J19" s="112"/>
      <c r="K19" s="9" t="s">
        <v>68</v>
      </c>
      <c r="L19" s="9" t="s">
        <v>69</v>
      </c>
      <c r="M19" s="9">
        <v>0.68799999999999994</v>
      </c>
      <c r="N19" s="9">
        <v>61.62</v>
      </c>
    </row>
  </sheetData>
  <mergeCells count="47">
    <mergeCell ref="D10:D11"/>
    <mergeCell ref="D12:D13"/>
    <mergeCell ref="D14:D15"/>
    <mergeCell ref="D16:D17"/>
    <mergeCell ref="D18:D19"/>
    <mergeCell ref="J18:J19"/>
    <mergeCell ref="B6:B7"/>
    <mergeCell ref="C6:C7"/>
    <mergeCell ref="B4:B5"/>
    <mergeCell ref="J2:J3"/>
    <mergeCell ref="J4:J5"/>
    <mergeCell ref="J6:J7"/>
    <mergeCell ref="B8:B9"/>
    <mergeCell ref="C12:C13"/>
    <mergeCell ref="E12:E13"/>
    <mergeCell ref="J8:J9"/>
    <mergeCell ref="J10:J11"/>
    <mergeCell ref="J12:J13"/>
    <mergeCell ref="C16:C17"/>
    <mergeCell ref="C18:C19"/>
    <mergeCell ref="E18:E19"/>
    <mergeCell ref="A12:A19"/>
    <mergeCell ref="B12:B13"/>
    <mergeCell ref="B14:B15"/>
    <mergeCell ref="B16:B17"/>
    <mergeCell ref="B18:B19"/>
    <mergeCell ref="A2:A11"/>
    <mergeCell ref="B2:B3"/>
    <mergeCell ref="C2:C3"/>
    <mergeCell ref="E2:E3"/>
    <mergeCell ref="C4:C5"/>
    <mergeCell ref="E4:E5"/>
    <mergeCell ref="E6:E7"/>
    <mergeCell ref="E10:E11"/>
    <mergeCell ref="B10:B11"/>
    <mergeCell ref="C10:C11"/>
    <mergeCell ref="C8:C9"/>
    <mergeCell ref="E8:E9"/>
    <mergeCell ref="D2:D3"/>
    <mergeCell ref="D4:D5"/>
    <mergeCell ref="D6:D7"/>
    <mergeCell ref="D8:D9"/>
    <mergeCell ref="C14:C15"/>
    <mergeCell ref="E14:E15"/>
    <mergeCell ref="E16:E17"/>
    <mergeCell ref="J14:J15"/>
    <mergeCell ref="J16:J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48B7-69B3-494B-9D0B-B8521B2F65CB}">
  <sheetPr>
    <outlinePr summaryBelow="0" summaryRight="0"/>
  </sheetPr>
  <dimension ref="A1:N21"/>
  <sheetViews>
    <sheetView tabSelected="1" zoomScale="7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6" sqref="N6"/>
    </sheetView>
  </sheetViews>
  <sheetFormatPr baseColWidth="10" defaultColWidth="17.1640625" defaultRowHeight="36" customHeight="1" x14ac:dyDescent="0.15"/>
  <cols>
    <col min="1" max="16384" width="17.1640625" style="146"/>
  </cols>
  <sheetData>
    <row r="1" spans="1:14" ht="36" customHeight="1" x14ac:dyDescent="0.15">
      <c r="A1" s="148" t="s">
        <v>0</v>
      </c>
      <c r="B1" s="148" t="s">
        <v>1</v>
      </c>
      <c r="C1" s="149" t="s">
        <v>138</v>
      </c>
      <c r="D1" s="149" t="s">
        <v>141</v>
      </c>
      <c r="E1" s="148" t="s">
        <v>2</v>
      </c>
      <c r="F1" s="148" t="s">
        <v>126</v>
      </c>
      <c r="G1" s="148" t="s">
        <v>3</v>
      </c>
      <c r="H1" s="147"/>
      <c r="I1" s="147"/>
      <c r="J1" s="147"/>
      <c r="K1" s="147"/>
      <c r="L1" s="147"/>
      <c r="M1" s="147"/>
      <c r="N1" s="147"/>
    </row>
    <row r="2" spans="1:14" ht="36" customHeight="1" x14ac:dyDescent="0.15">
      <c r="A2" s="146" t="s">
        <v>12</v>
      </c>
      <c r="B2" s="146" t="s">
        <v>13</v>
      </c>
      <c r="C2" s="150" t="s">
        <v>152</v>
      </c>
      <c r="D2" s="152" t="s">
        <v>147</v>
      </c>
      <c r="E2" s="146">
        <v>45</v>
      </c>
      <c r="F2" s="146" t="s">
        <v>14</v>
      </c>
      <c r="G2" s="146" t="s">
        <v>14</v>
      </c>
      <c r="H2" s="147"/>
      <c r="I2" s="147"/>
      <c r="J2" s="147"/>
      <c r="K2" s="147"/>
      <c r="L2" s="147"/>
      <c r="M2" s="147"/>
      <c r="N2" s="147"/>
    </row>
    <row r="3" spans="1:14" ht="36" customHeight="1" x14ac:dyDescent="0.15">
      <c r="A3" s="146" t="s">
        <v>12</v>
      </c>
      <c r="B3" s="146" t="s">
        <v>21</v>
      </c>
      <c r="C3" s="150" t="s">
        <v>148</v>
      </c>
      <c r="D3" s="151" t="s">
        <v>149</v>
      </c>
      <c r="E3" s="146">
        <v>42</v>
      </c>
      <c r="F3" s="146" t="s">
        <v>128</v>
      </c>
      <c r="G3" s="146" t="s">
        <v>22</v>
      </c>
      <c r="H3" s="147"/>
      <c r="I3" s="147"/>
      <c r="J3" s="147"/>
      <c r="K3" s="147"/>
      <c r="L3" s="147"/>
      <c r="M3" s="147"/>
      <c r="N3" s="147"/>
    </row>
    <row r="4" spans="1:14" ht="36" customHeight="1" x14ac:dyDescent="0.15">
      <c r="A4" s="146" t="s">
        <v>12</v>
      </c>
      <c r="B4" s="146" t="s">
        <v>27</v>
      </c>
      <c r="C4" s="150" t="s">
        <v>150</v>
      </c>
      <c r="D4" s="151" t="s">
        <v>151</v>
      </c>
      <c r="E4" s="146">
        <v>75</v>
      </c>
      <c r="F4" s="146" t="s">
        <v>129</v>
      </c>
      <c r="G4" s="146" t="s">
        <v>28</v>
      </c>
      <c r="H4" s="147"/>
      <c r="I4" s="147"/>
      <c r="J4" s="147"/>
      <c r="K4" s="147"/>
      <c r="L4" s="147"/>
      <c r="M4" s="147"/>
      <c r="N4" s="147"/>
    </row>
    <row r="5" spans="1:14" ht="36" customHeight="1" x14ac:dyDescent="0.15">
      <c r="A5" s="146" t="s">
        <v>12</v>
      </c>
      <c r="B5" s="146" t="s">
        <v>33</v>
      </c>
      <c r="C5" s="150" t="s">
        <v>152</v>
      </c>
      <c r="D5" s="151" t="s">
        <v>33</v>
      </c>
      <c r="E5" s="146">
        <v>29</v>
      </c>
      <c r="F5" s="146" t="s">
        <v>130</v>
      </c>
      <c r="G5" s="146" t="s">
        <v>34</v>
      </c>
      <c r="H5" s="147"/>
      <c r="I5" s="147"/>
      <c r="J5" s="147"/>
      <c r="K5" s="147"/>
      <c r="L5" s="147"/>
      <c r="M5" s="147"/>
      <c r="N5" s="147"/>
    </row>
    <row r="6" spans="1:14" ht="36" customHeight="1" x14ac:dyDescent="0.15">
      <c r="A6" s="146" t="s">
        <v>12</v>
      </c>
      <c r="B6" s="146" t="s">
        <v>39</v>
      </c>
      <c r="C6" s="150" t="s">
        <v>153</v>
      </c>
      <c r="D6" s="151" t="s">
        <v>154</v>
      </c>
      <c r="E6" s="146">
        <v>61</v>
      </c>
      <c r="F6" s="146" t="s">
        <v>127</v>
      </c>
      <c r="G6" s="146" t="s">
        <v>40</v>
      </c>
      <c r="H6" s="147"/>
      <c r="I6" s="147"/>
      <c r="J6" s="147"/>
      <c r="K6" s="147"/>
      <c r="L6" s="147"/>
      <c r="M6" s="147"/>
      <c r="N6" s="147"/>
    </row>
    <row r="7" spans="1:14" ht="36" customHeight="1" x14ac:dyDescent="0.15">
      <c r="A7" s="146" t="s">
        <v>45</v>
      </c>
      <c r="B7" s="146" t="s">
        <v>46</v>
      </c>
      <c r="C7" s="150" t="s">
        <v>155</v>
      </c>
      <c r="D7" s="152" t="s">
        <v>144</v>
      </c>
      <c r="E7" s="146">
        <v>127</v>
      </c>
      <c r="F7" s="146" t="s">
        <v>47</v>
      </c>
      <c r="G7" s="146" t="s">
        <v>47</v>
      </c>
      <c r="H7" s="147"/>
      <c r="I7" s="147"/>
      <c r="J7" s="147"/>
      <c r="K7" s="147"/>
      <c r="L7" s="147"/>
      <c r="M7" s="147"/>
      <c r="N7" s="147"/>
    </row>
    <row r="8" spans="1:14" ht="36" customHeight="1" x14ac:dyDescent="0.15">
      <c r="A8" s="146" t="s">
        <v>45</v>
      </c>
      <c r="B8" s="146" t="s">
        <v>52</v>
      </c>
      <c r="C8" s="150" t="s">
        <v>140</v>
      </c>
      <c r="D8" s="152" t="s">
        <v>145</v>
      </c>
      <c r="E8" s="146">
        <v>75</v>
      </c>
      <c r="F8" s="146" t="s">
        <v>131</v>
      </c>
      <c r="G8" s="146" t="s">
        <v>53</v>
      </c>
      <c r="H8" s="147"/>
      <c r="I8" s="147"/>
      <c r="J8" s="147"/>
      <c r="K8" s="147"/>
      <c r="L8" s="147"/>
      <c r="M8" s="147"/>
      <c r="N8" s="147"/>
    </row>
    <row r="9" spans="1:14" ht="36" customHeight="1" x14ac:dyDescent="0.15">
      <c r="A9" s="146" t="s">
        <v>45</v>
      </c>
      <c r="B9" s="146" t="s">
        <v>58</v>
      </c>
      <c r="C9" s="150" t="s">
        <v>139</v>
      </c>
      <c r="D9" s="151" t="s">
        <v>146</v>
      </c>
      <c r="E9" s="146">
        <v>123</v>
      </c>
      <c r="F9" s="146" t="s">
        <v>132</v>
      </c>
      <c r="G9" s="146" t="s">
        <v>59</v>
      </c>
      <c r="H9" s="147"/>
      <c r="I9" s="147"/>
      <c r="J9" s="147"/>
      <c r="K9" s="147"/>
      <c r="L9" s="147"/>
      <c r="M9" s="147"/>
      <c r="N9" s="147"/>
    </row>
    <row r="10" spans="1:14" ht="36" customHeight="1" x14ac:dyDescent="0.15">
      <c r="A10" s="146" t="s">
        <v>45</v>
      </c>
      <c r="B10" s="146" t="s">
        <v>64</v>
      </c>
      <c r="C10" s="150" t="s">
        <v>142</v>
      </c>
      <c r="D10" s="151" t="s">
        <v>143</v>
      </c>
      <c r="E10" s="146">
        <v>43</v>
      </c>
      <c r="F10" s="146" t="s">
        <v>133</v>
      </c>
      <c r="G10" s="146" t="s">
        <v>65</v>
      </c>
      <c r="H10" s="147"/>
      <c r="I10" s="147"/>
      <c r="J10" s="147"/>
      <c r="K10" s="147"/>
      <c r="L10" s="147"/>
      <c r="M10" s="147"/>
      <c r="N10" s="147"/>
    </row>
    <row r="11" spans="1:14" ht="36" customHeight="1" x14ac:dyDescent="0.15">
      <c r="H11" s="147"/>
      <c r="I11" s="147"/>
      <c r="J11" s="147"/>
      <c r="K11" s="147"/>
      <c r="L11" s="147"/>
      <c r="M11" s="147"/>
      <c r="N11" s="147"/>
    </row>
    <row r="12" spans="1:14" ht="36" customHeight="1" x14ac:dyDescent="0.15">
      <c r="H12" s="147"/>
      <c r="I12" s="147"/>
      <c r="J12" s="147"/>
      <c r="K12" s="147"/>
      <c r="L12" s="147"/>
      <c r="M12" s="147"/>
      <c r="N12" s="147"/>
    </row>
    <row r="13" spans="1:14" ht="36" customHeight="1" x14ac:dyDescent="0.15">
      <c r="H13" s="147"/>
      <c r="I13" s="147"/>
      <c r="J13" s="147"/>
      <c r="K13" s="147"/>
      <c r="L13" s="147"/>
      <c r="M13" s="147"/>
      <c r="N13" s="147"/>
    </row>
    <row r="14" spans="1:14" ht="36" customHeight="1" x14ac:dyDescent="0.15">
      <c r="H14" s="147"/>
      <c r="I14" s="147"/>
      <c r="J14" s="147"/>
      <c r="K14" s="147"/>
      <c r="L14" s="147"/>
      <c r="M14" s="147"/>
      <c r="N14" s="147"/>
    </row>
    <row r="15" spans="1:14" ht="36" customHeight="1" x14ac:dyDescent="0.15">
      <c r="H15" s="147"/>
      <c r="I15" s="147"/>
      <c r="J15" s="147"/>
      <c r="K15" s="147"/>
      <c r="L15" s="147"/>
      <c r="M15" s="147"/>
      <c r="N15" s="147"/>
    </row>
    <row r="16" spans="1:14" ht="36" customHeight="1" x14ac:dyDescent="0.15">
      <c r="H16" s="147"/>
      <c r="I16" s="147"/>
      <c r="J16" s="147"/>
      <c r="K16" s="147"/>
      <c r="L16" s="147"/>
      <c r="M16" s="147"/>
      <c r="N16" s="147"/>
    </row>
    <row r="17" spans="8:14" ht="36" customHeight="1" x14ac:dyDescent="0.15">
      <c r="H17" s="147"/>
      <c r="I17" s="147"/>
      <c r="J17" s="147"/>
      <c r="K17" s="147"/>
      <c r="L17" s="147"/>
      <c r="M17" s="147"/>
      <c r="N17" s="147"/>
    </row>
    <row r="18" spans="8:14" ht="36" customHeight="1" x14ac:dyDescent="0.15">
      <c r="H18" s="147"/>
      <c r="I18" s="147"/>
      <c r="J18" s="147"/>
      <c r="K18" s="147"/>
      <c r="L18" s="147"/>
      <c r="M18" s="147"/>
      <c r="N18" s="147"/>
    </row>
    <row r="19" spans="8:14" ht="36" customHeight="1" x14ac:dyDescent="0.15">
      <c r="H19" s="147"/>
      <c r="I19" s="147"/>
      <c r="J19" s="147"/>
      <c r="K19" s="147"/>
      <c r="L19" s="147"/>
      <c r="M19" s="147"/>
      <c r="N19" s="147"/>
    </row>
    <row r="20" spans="8:14" ht="36" customHeight="1" x14ac:dyDescent="0.15">
      <c r="H20" s="147"/>
      <c r="I20" s="147"/>
      <c r="J20" s="147"/>
      <c r="K20" s="147"/>
      <c r="L20" s="147"/>
      <c r="M20" s="147"/>
      <c r="N20" s="147"/>
    </row>
    <row r="21" spans="8:14" ht="36" customHeight="1" x14ac:dyDescent="0.15">
      <c r="H21" s="147"/>
      <c r="I21" s="147"/>
      <c r="J21" s="147"/>
      <c r="K21" s="147"/>
      <c r="L21" s="147"/>
      <c r="M21" s="147"/>
      <c r="N21" s="147"/>
    </row>
  </sheetData>
  <hyperlinks>
    <hyperlink ref="C7" r:id="rId1" display="(BICCN, 2021)" xr:uid="{30954BED-1049-424A-BDBA-F9576F78DD4D}"/>
    <hyperlink ref="C8" r:id="rId2" display="Hodge 2019" xr:uid="{F3795BC3-D77B-7A40-AF20-75CB3A5E5955}"/>
    <hyperlink ref="C9" r:id="rId3" xr:uid="{5DC4B925-F6BC-954B-862A-51282D1CB204}"/>
    <hyperlink ref="C10" r:id="rId4" xr:uid="{FC2D2D3D-F181-C445-A19E-467513586FE4}"/>
    <hyperlink ref="C2" r:id="rId5" xr:uid="{22FDFC65-04CB-B44F-8D5D-90AF01FD34EB}"/>
    <hyperlink ref="C3" r:id="rId6" xr:uid="{E99DC879-B485-414D-808C-E0C5F53CB946}"/>
    <hyperlink ref="C4" r:id="rId7" xr:uid="{8836ACE4-69DF-6B48-A166-72BACD88E00B}"/>
    <hyperlink ref="C5" r:id="rId8" display="Xu et al. (2024)" xr:uid="{E6550411-3419-5147-89FB-0D1158333A5C}"/>
    <hyperlink ref="C6" r:id="rId9" xr:uid="{7CBF8FEC-6B18-974F-B54A-38C02FD691AE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24D6-A9E5-944A-86B6-4E39743B7776}">
  <dimension ref="A1:T16"/>
  <sheetViews>
    <sheetView zoomScale="108" workbookViewId="0">
      <selection activeCell="H22" sqref="H22"/>
    </sheetView>
  </sheetViews>
  <sheetFormatPr baseColWidth="10" defaultRowHeight="39" customHeight="1" x14ac:dyDescent="0.15"/>
  <cols>
    <col min="1" max="1" width="10.83203125" style="30"/>
    <col min="2" max="2" width="18" style="30" customWidth="1"/>
    <col min="3" max="3" width="17.6640625" style="30" customWidth="1"/>
    <col min="4" max="4" width="20" style="30" customWidth="1"/>
    <col min="5" max="5" width="16" style="30" customWidth="1"/>
    <col min="6" max="6" width="20.33203125" style="30" customWidth="1"/>
    <col min="7" max="7" width="17.6640625" style="30" customWidth="1"/>
    <col min="8" max="16384" width="10.83203125" style="30"/>
  </cols>
  <sheetData>
    <row r="1" spans="1:20" ht="39" customHeight="1" x14ac:dyDescent="0.15">
      <c r="A1" s="89" t="s">
        <v>107</v>
      </c>
      <c r="B1" s="89"/>
      <c r="C1" s="89"/>
      <c r="D1" s="89"/>
      <c r="E1" s="89"/>
      <c r="F1" s="89"/>
      <c r="G1" s="89"/>
      <c r="H1" s="89"/>
      <c r="I1" s="89"/>
    </row>
    <row r="2" spans="1:20" ht="39" customHeight="1" x14ac:dyDescent="0.15">
      <c r="A2" s="1" t="s">
        <v>88</v>
      </c>
      <c r="B2" s="1" t="s">
        <v>89</v>
      </c>
      <c r="C2" s="1" t="s">
        <v>90</v>
      </c>
      <c r="D2" s="1" t="s">
        <v>91</v>
      </c>
      <c r="E2" s="1" t="s">
        <v>122</v>
      </c>
      <c r="F2" s="1" t="s">
        <v>92</v>
      </c>
      <c r="G2" s="1" t="s">
        <v>123</v>
      </c>
      <c r="H2" s="1" t="s">
        <v>93</v>
      </c>
      <c r="I2" s="1" t="s">
        <v>94</v>
      </c>
      <c r="Q2" s="29" t="s">
        <v>121</v>
      </c>
      <c r="T2" s="29" t="s">
        <v>108</v>
      </c>
    </row>
    <row r="3" spans="1:20" ht="39" customHeight="1" x14ac:dyDescent="0.15">
      <c r="A3" s="31" t="s">
        <v>15</v>
      </c>
      <c r="B3" s="32" t="s">
        <v>95</v>
      </c>
      <c r="C3" s="33" t="s">
        <v>98</v>
      </c>
      <c r="D3" s="31" t="s">
        <v>101</v>
      </c>
      <c r="E3" s="34">
        <v>2.4194E-2</v>
      </c>
      <c r="F3" s="31" t="s">
        <v>104</v>
      </c>
      <c r="G3" s="34">
        <v>-3.7916999999999999E-2</v>
      </c>
      <c r="H3" s="34">
        <v>3.4811000000000002E-2</v>
      </c>
      <c r="I3" s="34">
        <v>-3.8138999999999999E-2</v>
      </c>
    </row>
    <row r="4" spans="1:20" ht="39" customHeight="1" x14ac:dyDescent="0.15">
      <c r="A4" s="31" t="s">
        <v>45</v>
      </c>
      <c r="B4" s="31" t="s">
        <v>96</v>
      </c>
      <c r="C4" s="33" t="s">
        <v>99</v>
      </c>
      <c r="D4" s="31" t="s">
        <v>102</v>
      </c>
      <c r="E4" s="34">
        <v>3.0051000000000001E-2</v>
      </c>
      <c r="F4" s="31" t="s">
        <v>105</v>
      </c>
      <c r="G4" s="34">
        <v>-2.3632E-2</v>
      </c>
      <c r="H4" s="34">
        <v>4.9195999999999997E-2</v>
      </c>
      <c r="I4" s="34">
        <v>-2.0580000000000001E-2</v>
      </c>
    </row>
    <row r="5" spans="1:20" ht="39" customHeight="1" x14ac:dyDescent="0.15">
      <c r="A5" s="31" t="s">
        <v>12</v>
      </c>
      <c r="B5" s="31" t="s">
        <v>97</v>
      </c>
      <c r="C5" s="33" t="s">
        <v>100</v>
      </c>
      <c r="D5" s="31" t="s">
        <v>103</v>
      </c>
      <c r="E5" s="34">
        <v>0.44282500000000002</v>
      </c>
      <c r="F5" s="31" t="s">
        <v>106</v>
      </c>
      <c r="G5" s="34">
        <v>0.23336000000000001</v>
      </c>
      <c r="H5" s="34">
        <v>0.48193399999999997</v>
      </c>
      <c r="I5" s="34">
        <v>0.18482899999999999</v>
      </c>
    </row>
    <row r="7" spans="1:20" ht="39" customHeight="1" x14ac:dyDescent="0.15">
      <c r="A7" s="89" t="s">
        <v>108</v>
      </c>
      <c r="B7" s="89"/>
      <c r="C7" s="89"/>
      <c r="D7" s="89"/>
      <c r="E7" s="89"/>
      <c r="F7" s="89"/>
      <c r="G7" s="89"/>
      <c r="H7" s="89"/>
      <c r="I7" s="89"/>
    </row>
    <row r="8" spans="1:20" ht="39" customHeight="1" x14ac:dyDescent="0.15">
      <c r="A8" s="1" t="s">
        <v>88</v>
      </c>
      <c r="B8" s="1" t="s">
        <v>89</v>
      </c>
      <c r="C8" s="1" t="s">
        <v>90</v>
      </c>
      <c r="D8" s="1" t="s">
        <v>91</v>
      </c>
      <c r="E8" s="1" t="s">
        <v>122</v>
      </c>
      <c r="F8" s="1" t="s">
        <v>92</v>
      </c>
      <c r="G8" s="1" t="s">
        <v>123</v>
      </c>
      <c r="H8" s="1" t="s">
        <v>93</v>
      </c>
      <c r="I8" s="1" t="s">
        <v>94</v>
      </c>
    </row>
    <row r="9" spans="1:20" ht="39" customHeight="1" x14ac:dyDescent="0.15">
      <c r="A9" s="31" t="s">
        <v>15</v>
      </c>
      <c r="B9" s="32" t="s">
        <v>109</v>
      </c>
      <c r="C9" s="33" t="s">
        <v>112</v>
      </c>
      <c r="D9" s="31" t="s">
        <v>115</v>
      </c>
      <c r="E9" s="34">
        <v>8.974E-2</v>
      </c>
      <c r="F9" s="31" t="s">
        <v>118</v>
      </c>
      <c r="G9" s="34">
        <v>0.14796599999999999</v>
      </c>
      <c r="H9" s="34">
        <v>0.320272</v>
      </c>
      <c r="I9" s="34">
        <v>0.17477999999999999</v>
      </c>
    </row>
    <row r="10" spans="1:20" ht="39" customHeight="1" x14ac:dyDescent="0.15">
      <c r="A10" s="31" t="s">
        <v>45</v>
      </c>
      <c r="B10" s="31" t="s">
        <v>110</v>
      </c>
      <c r="C10" s="33" t="s">
        <v>113</v>
      </c>
      <c r="D10" s="31" t="s">
        <v>116</v>
      </c>
      <c r="E10" s="34">
        <v>0.115178</v>
      </c>
      <c r="F10" s="31" t="s">
        <v>119</v>
      </c>
      <c r="G10" s="34">
        <v>0.180894</v>
      </c>
      <c r="H10" s="34">
        <v>0.43117800000000001</v>
      </c>
      <c r="I10" s="34">
        <v>0.22758300000000001</v>
      </c>
    </row>
    <row r="11" spans="1:20" ht="39" customHeight="1" x14ac:dyDescent="0.15">
      <c r="A11" s="31" t="s">
        <v>12</v>
      </c>
      <c r="B11" s="31" t="s">
        <v>111</v>
      </c>
      <c r="C11" s="33" t="s">
        <v>114</v>
      </c>
      <c r="D11" s="31" t="s">
        <v>117</v>
      </c>
      <c r="E11" s="34">
        <v>-3.5489E-2</v>
      </c>
      <c r="F11" s="31" t="s">
        <v>120</v>
      </c>
      <c r="G11" s="34">
        <v>-2.4444E-2</v>
      </c>
      <c r="H11" s="34">
        <v>-0.122576</v>
      </c>
      <c r="I11" s="34">
        <v>-3.1888E-2</v>
      </c>
    </row>
    <row r="13" spans="1:20" ht="39" customHeight="1" x14ac:dyDescent="0.15">
      <c r="B13" s="35"/>
      <c r="C13" s="35" t="s">
        <v>121</v>
      </c>
      <c r="E13" s="29"/>
      <c r="F13" s="35" t="s">
        <v>108</v>
      </c>
    </row>
    <row r="14" spans="1:20" ht="39" customHeight="1" x14ac:dyDescent="0.15">
      <c r="B14" s="34"/>
      <c r="C14" s="34"/>
      <c r="D14" s="34"/>
      <c r="E14" s="34"/>
      <c r="F14" s="34"/>
    </row>
    <row r="15" spans="1:20" ht="39" customHeight="1" x14ac:dyDescent="0.15">
      <c r="B15" s="34"/>
      <c r="C15" s="34"/>
      <c r="D15" s="34"/>
      <c r="E15" s="34"/>
      <c r="F15" s="34"/>
    </row>
    <row r="16" spans="1:20" ht="39" customHeight="1" x14ac:dyDescent="0.15">
      <c r="B16" s="34"/>
      <c r="C16" s="34"/>
      <c r="D16" s="34"/>
      <c r="E16" s="34"/>
      <c r="F16" s="34"/>
    </row>
  </sheetData>
  <mergeCells count="2">
    <mergeCell ref="A1:I1"/>
    <mergeCell ref="A7:I7"/>
  </mergeCell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9E14-36CC-6549-91A6-4AA49DFC1B34}">
  <sheetPr>
    <outlinePr summaryBelow="0" summaryRight="0"/>
  </sheetPr>
  <dimension ref="A1:Q28"/>
  <sheetViews>
    <sheetView zoomScale="65" zoomScaleNormal="6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21" sqref="N21"/>
    </sheetView>
  </sheetViews>
  <sheetFormatPr baseColWidth="10" defaultColWidth="12.6640625" defaultRowHeight="39" customHeight="1" x14ac:dyDescent="0.2"/>
  <cols>
    <col min="1" max="1" width="15.33203125" style="47" customWidth="1"/>
    <col min="2" max="2" width="19.33203125" style="46" customWidth="1"/>
    <col min="3" max="3" width="18.33203125" style="46" customWidth="1"/>
    <col min="4" max="4" width="27.1640625" style="46" customWidth="1"/>
    <col min="5" max="5" width="15" style="46" customWidth="1"/>
    <col min="6" max="7" width="21.33203125" style="46" customWidth="1"/>
    <col min="8" max="8" width="25.5" style="46" customWidth="1"/>
    <col min="9" max="9" width="26.1640625" style="46" customWidth="1"/>
    <col min="10" max="10" width="21.33203125" style="46" customWidth="1"/>
    <col min="11" max="11" width="36.83203125" style="46" customWidth="1"/>
    <col min="12" max="16384" width="12.6640625" style="46"/>
  </cols>
  <sheetData>
    <row r="1" spans="1:17" ht="39" customHeight="1" x14ac:dyDescent="0.2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70</v>
      </c>
      <c r="J1" s="45" t="s">
        <v>10</v>
      </c>
      <c r="K1" s="45" t="s">
        <v>11</v>
      </c>
    </row>
    <row r="2" spans="1:17" ht="39" customHeight="1" x14ac:dyDescent="0.2">
      <c r="A2" s="129" t="s">
        <v>12</v>
      </c>
      <c r="B2" s="133" t="s">
        <v>13</v>
      </c>
      <c r="C2" s="136">
        <v>45</v>
      </c>
      <c r="D2" s="136" t="s">
        <v>14</v>
      </c>
      <c r="E2" s="61" t="s">
        <v>15</v>
      </c>
      <c r="F2" s="62">
        <v>49082</v>
      </c>
      <c r="G2" s="62">
        <v>6474</v>
      </c>
      <c r="H2" s="63">
        <f>G2/F2</f>
        <v>0.13190171549651603</v>
      </c>
      <c r="I2" s="137">
        <f>G3/G2</f>
        <v>1.2202656780970034E-2</v>
      </c>
      <c r="J2" s="61">
        <v>0.67900000000000005</v>
      </c>
      <c r="K2" s="61">
        <v>622.11</v>
      </c>
      <c r="M2"/>
      <c r="N2"/>
    </row>
    <row r="3" spans="1:17" ht="39" customHeight="1" x14ac:dyDescent="0.2">
      <c r="A3" s="129"/>
      <c r="B3" s="133"/>
      <c r="C3" s="136"/>
      <c r="D3" s="136"/>
      <c r="E3" s="61" t="s">
        <v>18</v>
      </c>
      <c r="F3" s="62">
        <v>12128</v>
      </c>
      <c r="G3" s="62">
        <v>79</v>
      </c>
      <c r="H3" s="63">
        <f>G3/F3</f>
        <v>6.5138522427440632E-3</v>
      </c>
      <c r="I3" s="137"/>
      <c r="J3" s="61">
        <v>0.62</v>
      </c>
      <c r="K3" s="61">
        <v>7.26</v>
      </c>
      <c r="M3"/>
      <c r="N3"/>
      <c r="O3"/>
      <c r="P3"/>
      <c r="Q3"/>
    </row>
    <row r="4" spans="1:17" ht="39" customHeight="1" x14ac:dyDescent="0.2">
      <c r="A4" s="130"/>
      <c r="B4" s="134"/>
      <c r="C4" s="95"/>
      <c r="D4" s="95"/>
      <c r="E4" s="58" t="s">
        <v>125</v>
      </c>
      <c r="F4" s="59">
        <v>18236</v>
      </c>
      <c r="G4" s="59"/>
      <c r="H4" s="60"/>
      <c r="I4" s="138"/>
      <c r="J4" s="64"/>
      <c r="K4" s="58"/>
      <c r="M4"/>
      <c r="N4"/>
      <c r="O4"/>
      <c r="P4"/>
      <c r="Q4"/>
    </row>
    <row r="5" spans="1:17" ht="39" customHeight="1" x14ac:dyDescent="0.2">
      <c r="A5" s="130"/>
      <c r="B5" s="139" t="s">
        <v>21</v>
      </c>
      <c r="C5" s="136">
        <v>42</v>
      </c>
      <c r="D5" s="136" t="s">
        <v>22</v>
      </c>
      <c r="E5" s="61" t="s">
        <v>15</v>
      </c>
      <c r="F5" s="62">
        <v>33604</v>
      </c>
      <c r="G5" s="62">
        <v>4622</v>
      </c>
      <c r="H5" s="63">
        <f>G5/F5</f>
        <v>0.13754314962504463</v>
      </c>
      <c r="I5" s="137">
        <f>G6/G5</f>
        <v>1.3846819558632626E-2</v>
      </c>
      <c r="J5" s="61">
        <v>0.60599999999999998</v>
      </c>
      <c r="K5" s="61">
        <v>425.64</v>
      </c>
      <c r="M5"/>
      <c r="N5"/>
      <c r="O5"/>
      <c r="P5"/>
      <c r="Q5"/>
    </row>
    <row r="6" spans="1:17" ht="39" customHeight="1" x14ac:dyDescent="0.2">
      <c r="A6" s="130"/>
      <c r="B6" s="133"/>
      <c r="C6" s="136"/>
      <c r="D6" s="136"/>
      <c r="E6" s="61" t="s">
        <v>18</v>
      </c>
      <c r="F6" s="62">
        <v>14399</v>
      </c>
      <c r="G6" s="62">
        <v>64</v>
      </c>
      <c r="H6" s="63">
        <f>G6/F6</f>
        <v>4.4447531078547122E-3</v>
      </c>
      <c r="I6" s="137"/>
      <c r="J6" s="61">
        <v>0.58799999999999997</v>
      </c>
      <c r="K6" s="61">
        <v>5.1100000000000003</v>
      </c>
      <c r="M6"/>
      <c r="N6"/>
      <c r="O6"/>
      <c r="P6"/>
      <c r="Q6"/>
    </row>
    <row r="7" spans="1:17" ht="39" customHeight="1" x14ac:dyDescent="0.2">
      <c r="A7" s="130"/>
      <c r="B7" s="134"/>
      <c r="C7" s="95"/>
      <c r="D7" s="95"/>
      <c r="E7" s="58" t="s">
        <v>125</v>
      </c>
      <c r="F7" s="59">
        <v>18788</v>
      </c>
      <c r="G7" s="59"/>
      <c r="H7" s="60"/>
      <c r="I7" s="138"/>
      <c r="J7" s="58"/>
      <c r="K7" s="58"/>
      <c r="M7"/>
      <c r="N7"/>
      <c r="O7"/>
      <c r="P7"/>
      <c r="Q7"/>
    </row>
    <row r="8" spans="1:17" ht="39" customHeight="1" x14ac:dyDescent="0.2">
      <c r="A8" s="130"/>
      <c r="B8" s="139" t="s">
        <v>27</v>
      </c>
      <c r="C8" s="140">
        <v>75</v>
      </c>
      <c r="D8" s="140" t="s">
        <v>28</v>
      </c>
      <c r="E8" s="61" t="s">
        <v>15</v>
      </c>
      <c r="F8" s="66">
        <v>33140</v>
      </c>
      <c r="G8" s="66">
        <v>5249</v>
      </c>
      <c r="H8" s="63">
        <f>G8/F8</f>
        <v>0.1583886541943271</v>
      </c>
      <c r="I8" s="137">
        <f>G9/G8</f>
        <v>3.8674033149171269E-2</v>
      </c>
      <c r="J8" s="65">
        <v>0.56899999999999995</v>
      </c>
      <c r="K8" s="65">
        <v>465.61</v>
      </c>
      <c r="M8"/>
      <c r="N8"/>
      <c r="O8"/>
      <c r="P8"/>
      <c r="Q8"/>
    </row>
    <row r="9" spans="1:17" ht="39" customHeight="1" x14ac:dyDescent="0.2">
      <c r="A9" s="130"/>
      <c r="B9" s="133"/>
      <c r="C9" s="136"/>
      <c r="D9" s="136"/>
      <c r="E9" s="61" t="s">
        <v>18</v>
      </c>
      <c r="F9" s="62">
        <v>11509</v>
      </c>
      <c r="G9" s="62">
        <v>203</v>
      </c>
      <c r="H9" s="63">
        <f>G9/F9</f>
        <v>1.7638369971326787E-2</v>
      </c>
      <c r="I9" s="137"/>
      <c r="J9" s="61">
        <v>0.46500000000000002</v>
      </c>
      <c r="K9" s="61">
        <v>12.81</v>
      </c>
      <c r="M9"/>
      <c r="N9"/>
      <c r="O9"/>
      <c r="P9"/>
      <c r="Q9"/>
    </row>
    <row r="10" spans="1:17" ht="39" customHeight="1" x14ac:dyDescent="0.2">
      <c r="A10" s="130"/>
      <c r="B10" s="134"/>
      <c r="C10" s="95"/>
      <c r="D10" s="95"/>
      <c r="E10" s="58" t="s">
        <v>125</v>
      </c>
      <c r="F10" s="59">
        <v>18722</v>
      </c>
      <c r="G10" s="59"/>
      <c r="H10" s="60"/>
      <c r="I10" s="138"/>
      <c r="J10" s="58"/>
      <c r="K10" s="58"/>
      <c r="M10"/>
      <c r="N10"/>
      <c r="O10"/>
      <c r="P10"/>
      <c r="Q10"/>
    </row>
    <row r="11" spans="1:17" ht="39" customHeight="1" x14ac:dyDescent="0.2">
      <c r="A11" s="130"/>
      <c r="B11" s="139" t="s">
        <v>33</v>
      </c>
      <c r="C11" s="140">
        <v>29</v>
      </c>
      <c r="D11" s="140" t="s">
        <v>34</v>
      </c>
      <c r="E11" s="61" t="s">
        <v>15</v>
      </c>
      <c r="F11" s="66">
        <v>35659</v>
      </c>
      <c r="G11" s="66">
        <v>3073</v>
      </c>
      <c r="H11" s="63">
        <f>G11/F11</f>
        <v>8.6177402619254606E-2</v>
      </c>
      <c r="I11" s="137">
        <f>G12/G11</f>
        <v>1.3342011064106736E-2</v>
      </c>
      <c r="J11" s="65">
        <v>0.64700000000000002</v>
      </c>
      <c r="K11" s="65">
        <v>295.41000000000003</v>
      </c>
      <c r="M11"/>
      <c r="N11"/>
      <c r="O11"/>
      <c r="P11"/>
      <c r="Q11"/>
    </row>
    <row r="12" spans="1:17" ht="39" customHeight="1" x14ac:dyDescent="0.2">
      <c r="A12" s="130"/>
      <c r="B12" s="133"/>
      <c r="C12" s="136"/>
      <c r="D12" s="136"/>
      <c r="E12" s="61" t="s">
        <v>18</v>
      </c>
      <c r="F12" s="62">
        <v>11560</v>
      </c>
      <c r="G12" s="62">
        <v>41</v>
      </c>
      <c r="H12" s="63">
        <f>G12/F12</f>
        <v>3.5467128027681662E-3</v>
      </c>
      <c r="I12" s="137"/>
      <c r="J12" s="61">
        <v>0.55100000000000005</v>
      </c>
      <c r="K12" s="61">
        <v>3.17</v>
      </c>
      <c r="M12"/>
      <c r="N12"/>
      <c r="O12"/>
      <c r="P12"/>
      <c r="Q12"/>
    </row>
    <row r="13" spans="1:17" ht="39" customHeight="1" x14ac:dyDescent="0.2">
      <c r="A13" s="130"/>
      <c r="B13" s="134"/>
      <c r="C13" s="95"/>
      <c r="D13" s="95"/>
      <c r="E13" s="58" t="s">
        <v>125</v>
      </c>
      <c r="F13" s="59">
        <v>18181</v>
      </c>
      <c r="G13" s="59"/>
      <c r="H13" s="60"/>
      <c r="I13" s="138"/>
      <c r="J13" s="58"/>
      <c r="K13" s="58"/>
      <c r="M13"/>
      <c r="N13"/>
      <c r="O13"/>
      <c r="P13"/>
      <c r="Q13"/>
    </row>
    <row r="14" spans="1:17" ht="39" customHeight="1" x14ac:dyDescent="0.2">
      <c r="A14" s="130"/>
      <c r="B14" s="139" t="s">
        <v>39</v>
      </c>
      <c r="C14" s="136">
        <v>61</v>
      </c>
      <c r="D14" s="136" t="s">
        <v>40</v>
      </c>
      <c r="E14" s="61" t="s">
        <v>15</v>
      </c>
      <c r="F14" s="62">
        <v>27402</v>
      </c>
      <c r="G14" s="62">
        <v>5288</v>
      </c>
      <c r="H14" s="63">
        <f>G14/F14</f>
        <v>0.19297861469965696</v>
      </c>
      <c r="I14" s="142">
        <f>G15/G14</f>
        <v>1.5695915279878972E-2</v>
      </c>
      <c r="J14" s="61">
        <v>0.58499999999999996</v>
      </c>
      <c r="K14" s="61">
        <v>461.93</v>
      </c>
      <c r="M14"/>
      <c r="N14"/>
      <c r="O14"/>
      <c r="P14"/>
      <c r="Q14"/>
    </row>
    <row r="15" spans="1:17" ht="39" customHeight="1" x14ac:dyDescent="0.2">
      <c r="A15" s="130"/>
      <c r="B15" s="133"/>
      <c r="C15" s="136"/>
      <c r="D15" s="136"/>
      <c r="E15" s="61" t="s">
        <v>18</v>
      </c>
      <c r="F15" s="62">
        <v>8744</v>
      </c>
      <c r="G15" s="62">
        <v>83</v>
      </c>
      <c r="H15" s="63">
        <f>G15/F15</f>
        <v>9.4922232387923151E-3</v>
      </c>
      <c r="I15" s="143"/>
      <c r="J15" s="61">
        <v>0.45300000000000001</v>
      </c>
      <c r="K15" s="61">
        <v>4.78</v>
      </c>
      <c r="M15"/>
      <c r="N15"/>
      <c r="O15"/>
      <c r="P15"/>
      <c r="Q15"/>
    </row>
    <row r="16" spans="1:17" ht="39" customHeight="1" thickBot="1" x14ac:dyDescent="0.25">
      <c r="A16" s="130"/>
      <c r="B16" s="141"/>
      <c r="C16" s="97"/>
      <c r="D16" s="97"/>
      <c r="E16" s="70" t="s">
        <v>125</v>
      </c>
      <c r="F16" s="62">
        <v>18178</v>
      </c>
      <c r="G16" s="62"/>
      <c r="H16" s="69"/>
      <c r="I16" s="144"/>
      <c r="J16" s="61"/>
      <c r="K16" s="61"/>
      <c r="M16"/>
      <c r="N16"/>
      <c r="O16"/>
      <c r="P16"/>
      <c r="Q16"/>
    </row>
    <row r="17" spans="1:17" ht="39" customHeight="1" x14ac:dyDescent="0.2">
      <c r="A17" s="128" t="s">
        <v>45</v>
      </c>
      <c r="B17" s="132" t="s">
        <v>124</v>
      </c>
      <c r="C17" s="135">
        <v>127</v>
      </c>
      <c r="D17" s="135" t="s">
        <v>47</v>
      </c>
      <c r="E17" s="61" t="s">
        <v>15</v>
      </c>
      <c r="F17" s="68">
        <v>30751</v>
      </c>
      <c r="G17" s="68">
        <v>8723</v>
      </c>
      <c r="H17" s="63">
        <f>G17/F17</f>
        <v>0.28366557185132191</v>
      </c>
      <c r="I17" s="137">
        <f>G18/G17</f>
        <v>3.0035538232259545E-2</v>
      </c>
      <c r="J17" s="67">
        <v>0.629</v>
      </c>
      <c r="K17" s="67">
        <v>651.53</v>
      </c>
      <c r="M17"/>
      <c r="N17"/>
      <c r="O17"/>
      <c r="P17"/>
      <c r="Q17"/>
    </row>
    <row r="18" spans="1:17" ht="39" customHeight="1" x14ac:dyDescent="0.2">
      <c r="A18" s="129"/>
      <c r="B18" s="133"/>
      <c r="C18" s="136"/>
      <c r="D18" s="136"/>
      <c r="E18" s="61" t="s">
        <v>18</v>
      </c>
      <c r="F18" s="62">
        <v>2032</v>
      </c>
      <c r="G18" s="62">
        <v>262</v>
      </c>
      <c r="H18" s="63">
        <f>G18/F18</f>
        <v>0.12893700787401574</v>
      </c>
      <c r="I18" s="137"/>
      <c r="J18" s="61">
        <v>0.60099999999999998</v>
      </c>
      <c r="K18" s="61">
        <v>22.03</v>
      </c>
      <c r="M18"/>
      <c r="N18"/>
      <c r="O18"/>
      <c r="P18"/>
      <c r="Q18"/>
    </row>
    <row r="19" spans="1:17" ht="39" customHeight="1" x14ac:dyDescent="0.2">
      <c r="A19" s="130"/>
      <c r="B19" s="134"/>
      <c r="C19" s="95"/>
      <c r="D19" s="95"/>
      <c r="E19" s="58" t="s">
        <v>125</v>
      </c>
      <c r="F19" s="59">
        <v>18105</v>
      </c>
      <c r="G19" s="59"/>
      <c r="H19" s="60"/>
      <c r="I19" s="138"/>
      <c r="J19" s="58"/>
      <c r="K19" s="58"/>
      <c r="M19"/>
      <c r="N19"/>
      <c r="O19"/>
      <c r="P19"/>
      <c r="Q19"/>
    </row>
    <row r="20" spans="1:17" ht="39" customHeight="1" x14ac:dyDescent="0.2">
      <c r="A20" s="130"/>
      <c r="B20" s="139" t="s">
        <v>52</v>
      </c>
      <c r="C20" s="140">
        <v>75</v>
      </c>
      <c r="D20" s="140" t="s">
        <v>53</v>
      </c>
      <c r="E20" s="61" t="s">
        <v>15</v>
      </c>
      <c r="F20" s="66">
        <v>30751</v>
      </c>
      <c r="G20" s="66">
        <v>11529</v>
      </c>
      <c r="H20" s="63">
        <f>G20/F20</f>
        <v>0.37491463692237653</v>
      </c>
      <c r="I20" s="137">
        <f>G21/G20</f>
        <v>3.3480787579148234E-2</v>
      </c>
      <c r="J20" s="65">
        <v>0.754</v>
      </c>
      <c r="K20" s="65">
        <v>750.94</v>
      </c>
      <c r="M20"/>
      <c r="N20"/>
      <c r="O20"/>
      <c r="P20"/>
      <c r="Q20"/>
    </row>
    <row r="21" spans="1:17" ht="39" customHeight="1" x14ac:dyDescent="0.2">
      <c r="A21" s="130"/>
      <c r="B21" s="133"/>
      <c r="C21" s="136"/>
      <c r="D21" s="136"/>
      <c r="E21" s="61" t="s">
        <v>18</v>
      </c>
      <c r="F21" s="62">
        <v>2032</v>
      </c>
      <c r="G21" s="62">
        <v>386</v>
      </c>
      <c r="H21" s="63">
        <f>G21/F21</f>
        <v>0.18996062992125984</v>
      </c>
      <c r="I21" s="137"/>
      <c r="J21" s="61">
        <v>0.72599999999999998</v>
      </c>
      <c r="K21" s="61">
        <v>32.65</v>
      </c>
      <c r="M21"/>
      <c r="N21"/>
    </row>
    <row r="22" spans="1:17" ht="39" customHeight="1" x14ac:dyDescent="0.2">
      <c r="A22" s="130"/>
      <c r="B22" s="93"/>
      <c r="C22" s="95"/>
      <c r="D22" s="95"/>
      <c r="E22" s="58" t="s">
        <v>125</v>
      </c>
      <c r="F22" s="59">
        <v>18105</v>
      </c>
      <c r="G22" s="59"/>
      <c r="H22" s="60"/>
      <c r="I22" s="138"/>
      <c r="J22" s="58"/>
      <c r="K22" s="58"/>
    </row>
    <row r="23" spans="1:17" ht="39" customHeight="1" x14ac:dyDescent="0.2">
      <c r="A23" s="130"/>
      <c r="B23" s="139" t="s">
        <v>58</v>
      </c>
      <c r="C23" s="140">
        <v>123</v>
      </c>
      <c r="D23" s="140" t="s">
        <v>59</v>
      </c>
      <c r="E23" s="61" t="s">
        <v>15</v>
      </c>
      <c r="F23" s="66">
        <v>35475</v>
      </c>
      <c r="G23" s="66">
        <v>6925</v>
      </c>
      <c r="H23" s="63">
        <f>G23/F23</f>
        <v>0.1952078928823115</v>
      </c>
      <c r="I23" s="137">
        <f>G24/G23</f>
        <v>0.10151624548736463</v>
      </c>
      <c r="J23" s="65">
        <v>0.621</v>
      </c>
      <c r="K23" s="65">
        <v>590.61</v>
      </c>
    </row>
    <row r="24" spans="1:17" ht="39" customHeight="1" x14ac:dyDescent="0.2">
      <c r="A24" s="130"/>
      <c r="B24" s="133"/>
      <c r="C24" s="136"/>
      <c r="D24" s="136"/>
      <c r="E24" s="61" t="s">
        <v>18</v>
      </c>
      <c r="F24" s="62">
        <v>15491</v>
      </c>
      <c r="G24" s="62">
        <v>703</v>
      </c>
      <c r="H24" s="63">
        <f>G24/F24</f>
        <v>4.5381189077528888E-2</v>
      </c>
      <c r="I24" s="137"/>
      <c r="J24" s="61">
        <v>0.54</v>
      </c>
      <c r="K24" s="61">
        <v>56.54</v>
      </c>
    </row>
    <row r="25" spans="1:17" ht="39" customHeight="1" x14ac:dyDescent="0.2">
      <c r="A25" s="130"/>
      <c r="B25" s="93"/>
      <c r="C25" s="95"/>
      <c r="D25" s="95"/>
      <c r="E25" s="58" t="s">
        <v>125</v>
      </c>
      <c r="F25" s="59">
        <v>19266</v>
      </c>
      <c r="G25" s="59"/>
      <c r="H25" s="60"/>
      <c r="I25" s="138"/>
      <c r="J25" s="64"/>
      <c r="K25" s="58"/>
    </row>
    <row r="26" spans="1:17" ht="39" customHeight="1" x14ac:dyDescent="0.2">
      <c r="A26" s="130"/>
      <c r="B26" s="136" t="s">
        <v>64</v>
      </c>
      <c r="C26" s="136">
        <v>43</v>
      </c>
      <c r="D26" s="136" t="s">
        <v>65</v>
      </c>
      <c r="E26" s="61" t="s">
        <v>15</v>
      </c>
      <c r="F26" s="62">
        <v>35467</v>
      </c>
      <c r="G26" s="62">
        <v>8425</v>
      </c>
      <c r="H26" s="63">
        <f>G26/F26</f>
        <v>0.23754475991766993</v>
      </c>
      <c r="I26" s="137">
        <f>G27/G26</f>
        <v>8.3442136498516326E-2</v>
      </c>
      <c r="J26" s="61">
        <v>0.75600000000000001</v>
      </c>
      <c r="K26" s="61">
        <v>515.17999999999995</v>
      </c>
    </row>
    <row r="27" spans="1:17" ht="39" customHeight="1" x14ac:dyDescent="0.2">
      <c r="A27" s="130"/>
      <c r="B27" s="136"/>
      <c r="C27" s="136"/>
      <c r="D27" s="136"/>
      <c r="E27" s="61" t="s">
        <v>18</v>
      </c>
      <c r="F27" s="62">
        <v>15488</v>
      </c>
      <c r="G27" s="62">
        <v>703</v>
      </c>
      <c r="H27" s="63">
        <f>G27/F27</f>
        <v>4.5389979338842978E-2</v>
      </c>
      <c r="I27" s="137"/>
      <c r="J27" s="61">
        <v>0.68799999999999994</v>
      </c>
      <c r="K27" s="61">
        <v>61.62</v>
      </c>
    </row>
    <row r="28" spans="1:17" ht="39" customHeight="1" x14ac:dyDescent="0.2">
      <c r="A28" s="131"/>
      <c r="B28" s="95"/>
      <c r="C28" s="95"/>
      <c r="D28" s="95"/>
      <c r="E28" s="58" t="s">
        <v>125</v>
      </c>
      <c r="F28" s="59">
        <v>19261</v>
      </c>
      <c r="G28" s="59"/>
      <c r="H28" s="60"/>
      <c r="I28" s="138"/>
      <c r="J28" s="58"/>
      <c r="K28" s="58"/>
    </row>
  </sheetData>
  <mergeCells count="38">
    <mergeCell ref="I23:I25"/>
    <mergeCell ref="B11:B13"/>
    <mergeCell ref="C11:C13"/>
    <mergeCell ref="D11:D13"/>
    <mergeCell ref="I11:I13"/>
    <mergeCell ref="B14:B16"/>
    <mergeCell ref="C14:C16"/>
    <mergeCell ref="D14:D16"/>
    <mergeCell ref="I14:I16"/>
    <mergeCell ref="A2:A16"/>
    <mergeCell ref="B2:B4"/>
    <mergeCell ref="C2:C4"/>
    <mergeCell ref="D2:D4"/>
    <mergeCell ref="I2:I4"/>
    <mergeCell ref="B5:B7"/>
    <mergeCell ref="C5:C7"/>
    <mergeCell ref="D5:D7"/>
    <mergeCell ref="I5:I7"/>
    <mergeCell ref="B8:B10"/>
    <mergeCell ref="C8:C10"/>
    <mergeCell ref="D8:D10"/>
    <mergeCell ref="I8:I10"/>
    <mergeCell ref="A17:A28"/>
    <mergeCell ref="B17:B19"/>
    <mergeCell ref="C17:C19"/>
    <mergeCell ref="D17:D19"/>
    <mergeCell ref="I17:I19"/>
    <mergeCell ref="B20:B22"/>
    <mergeCell ref="B26:B28"/>
    <mergeCell ref="C26:C28"/>
    <mergeCell ref="D26:D28"/>
    <mergeCell ref="I26:I28"/>
    <mergeCell ref="C20:C22"/>
    <mergeCell ref="D20:D22"/>
    <mergeCell ref="I20:I22"/>
    <mergeCell ref="B23:B25"/>
    <mergeCell ref="C23:C25"/>
    <mergeCell ref="D23:D25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3AB1-66F0-5349-9DE0-74BA2903EB51}">
  <sheetPr>
    <tabColor rgb="FFC00000"/>
  </sheetPr>
  <dimension ref="A1:D35"/>
  <sheetViews>
    <sheetView zoomScale="125" workbookViewId="0">
      <selection activeCell="J11" sqref="J11"/>
    </sheetView>
  </sheetViews>
  <sheetFormatPr baseColWidth="10" defaultRowHeight="13" x14ac:dyDescent="0.15"/>
  <cols>
    <col min="2" max="3" width="14.5" customWidth="1"/>
    <col min="4" max="4" width="9.6640625" customWidth="1"/>
    <col min="5" max="5" width="10.83203125" customWidth="1"/>
  </cols>
  <sheetData>
    <row r="1" spans="1:4" x14ac:dyDescent="0.15">
      <c r="A1" s="145" t="s">
        <v>75</v>
      </c>
      <c r="B1" s="145"/>
      <c r="C1" s="145"/>
      <c r="D1" s="145"/>
    </row>
    <row r="2" spans="1:4" x14ac:dyDescent="0.15">
      <c r="B2" s="23" t="s">
        <v>71</v>
      </c>
      <c r="C2" s="23" t="s">
        <v>72</v>
      </c>
      <c r="D2" s="23" t="s">
        <v>81</v>
      </c>
    </row>
    <row r="3" spans="1:4" x14ac:dyDescent="0.15">
      <c r="A3" s="23" t="s">
        <v>73</v>
      </c>
      <c r="B3" s="26">
        <v>1433732</v>
      </c>
      <c r="C3" s="26">
        <v>3043628</v>
      </c>
      <c r="D3" s="26">
        <f>B3+C3</f>
        <v>4477360</v>
      </c>
    </row>
    <row r="4" spans="1:4" x14ac:dyDescent="0.15">
      <c r="A4" s="23" t="s">
        <v>74</v>
      </c>
      <c r="B4" s="26">
        <v>39965</v>
      </c>
      <c r="C4" s="26">
        <v>166677</v>
      </c>
      <c r="D4" s="26">
        <f>B4+C4</f>
        <v>206642</v>
      </c>
    </row>
    <row r="6" spans="1:4" x14ac:dyDescent="0.15">
      <c r="A6" s="27" t="s">
        <v>76</v>
      </c>
      <c r="C6" s="25">
        <f>C3/D3</f>
        <v>0.67978183572462347</v>
      </c>
    </row>
    <row r="7" spans="1:4" x14ac:dyDescent="0.15">
      <c r="A7" s="27" t="s">
        <v>77</v>
      </c>
      <c r="C7" s="25">
        <f>C4/D4</f>
        <v>0.80659788426360568</v>
      </c>
    </row>
    <row r="9" spans="1:4" x14ac:dyDescent="0.15">
      <c r="A9" s="27" t="s">
        <v>78</v>
      </c>
      <c r="B9" s="22"/>
      <c r="C9">
        <v>14731.069</v>
      </c>
    </row>
    <row r="10" spans="1:4" x14ac:dyDescent="0.15">
      <c r="A10" s="27" t="s">
        <v>79</v>
      </c>
      <c r="B10" s="24"/>
      <c r="C10" s="24">
        <v>0</v>
      </c>
    </row>
    <row r="11" spans="1:4" x14ac:dyDescent="0.15">
      <c r="A11" s="27" t="s">
        <v>85</v>
      </c>
      <c r="B11" s="26">
        <v>522363746948</v>
      </c>
      <c r="C11" s="24">
        <v>0</v>
      </c>
    </row>
    <row r="13" spans="1:4" x14ac:dyDescent="0.15">
      <c r="A13" s="145" t="s">
        <v>80</v>
      </c>
      <c r="B13" s="145"/>
      <c r="C13" s="145"/>
      <c r="D13" s="145"/>
    </row>
    <row r="14" spans="1:4" x14ac:dyDescent="0.15">
      <c r="B14" s="23" t="s">
        <v>71</v>
      </c>
      <c r="C14" s="23" t="s">
        <v>72</v>
      </c>
      <c r="D14" s="23" t="s">
        <v>81</v>
      </c>
    </row>
    <row r="15" spans="1:4" x14ac:dyDescent="0.15">
      <c r="A15" s="23" t="s">
        <v>73</v>
      </c>
      <c r="B15" s="26">
        <v>1229986</v>
      </c>
      <c r="C15" s="26">
        <v>1956560</v>
      </c>
      <c r="D15" s="26">
        <f>B15+C15</f>
        <v>3186546</v>
      </c>
    </row>
    <row r="16" spans="1:4" x14ac:dyDescent="0.15">
      <c r="A16" s="23" t="s">
        <v>74</v>
      </c>
      <c r="B16" s="26">
        <v>36847</v>
      </c>
      <c r="C16" s="26">
        <v>142075</v>
      </c>
      <c r="D16" s="26">
        <f>B16+C16</f>
        <v>178922</v>
      </c>
    </row>
    <row r="18" spans="1:4" x14ac:dyDescent="0.15">
      <c r="A18" s="27" t="s">
        <v>76</v>
      </c>
      <c r="C18" s="25">
        <f>C15/D15</f>
        <v>0.61400651363576741</v>
      </c>
    </row>
    <row r="19" spans="1:4" x14ac:dyDescent="0.15">
      <c r="A19" s="27" t="s">
        <v>77</v>
      </c>
      <c r="C19" s="25">
        <f>C16/D16</f>
        <v>0.7940610992499525</v>
      </c>
    </row>
    <row r="21" spans="1:4" x14ac:dyDescent="0.15">
      <c r="A21" s="27" t="s">
        <v>78</v>
      </c>
      <c r="B21" s="22"/>
      <c r="C21">
        <v>23397.381000000001</v>
      </c>
    </row>
    <row r="22" spans="1:4" x14ac:dyDescent="0.15">
      <c r="A22" s="27" t="s">
        <v>79</v>
      </c>
      <c r="C22" s="24">
        <v>0</v>
      </c>
    </row>
    <row r="23" spans="1:4" x14ac:dyDescent="0.15">
      <c r="A23" s="27" t="s">
        <v>85</v>
      </c>
      <c r="B23" s="26">
        <v>336866402841</v>
      </c>
      <c r="C23" s="24">
        <v>0</v>
      </c>
    </row>
    <row r="25" spans="1:4" x14ac:dyDescent="0.15">
      <c r="A25" s="145" t="s">
        <v>82</v>
      </c>
      <c r="B25" s="145"/>
      <c r="C25" s="145"/>
      <c r="D25" s="145"/>
    </row>
    <row r="26" spans="1:4" x14ac:dyDescent="0.15">
      <c r="B26" s="23" t="s">
        <v>71</v>
      </c>
      <c r="C26" s="23" t="s">
        <v>72</v>
      </c>
      <c r="D26" s="23" t="s">
        <v>81</v>
      </c>
    </row>
    <row r="27" spans="1:4" x14ac:dyDescent="0.15">
      <c r="A27" s="23" t="s">
        <v>73</v>
      </c>
      <c r="B27" s="26">
        <v>203746</v>
      </c>
      <c r="C27" s="26">
        <v>1087068</v>
      </c>
      <c r="D27" s="26">
        <f>B27+C27</f>
        <v>1290814</v>
      </c>
    </row>
    <row r="28" spans="1:4" x14ac:dyDescent="0.15">
      <c r="A28" s="23" t="s">
        <v>74</v>
      </c>
      <c r="B28" s="26">
        <v>3118</v>
      </c>
      <c r="C28" s="26">
        <v>24602</v>
      </c>
      <c r="D28" s="26">
        <f>B28+C28</f>
        <v>27720</v>
      </c>
    </row>
    <row r="30" spans="1:4" x14ac:dyDescent="0.15">
      <c r="A30" s="27" t="s">
        <v>76</v>
      </c>
      <c r="C30" s="25">
        <f>C27/D27</f>
        <v>0.8421569645200625</v>
      </c>
    </row>
    <row r="31" spans="1:4" x14ac:dyDescent="0.15">
      <c r="A31" s="27" t="s">
        <v>77</v>
      </c>
      <c r="C31" s="25">
        <f>C28/D28</f>
        <v>0.88751803751803748</v>
      </c>
    </row>
    <row r="33" spans="1:3" x14ac:dyDescent="0.15">
      <c r="A33" s="27" t="s">
        <v>78</v>
      </c>
      <c r="B33" s="22"/>
      <c r="C33">
        <v>421.79399999999998</v>
      </c>
    </row>
    <row r="34" spans="1:3" x14ac:dyDescent="0.15">
      <c r="A34" s="27" t="s">
        <v>79</v>
      </c>
      <c r="C34" s="28" t="s">
        <v>84</v>
      </c>
    </row>
    <row r="35" spans="1:3" x14ac:dyDescent="0.15">
      <c r="A35" s="27" t="s">
        <v>85</v>
      </c>
      <c r="B35" s="26">
        <v>18643513498</v>
      </c>
      <c r="C35" s="28" t="s">
        <v>86</v>
      </c>
    </row>
  </sheetData>
  <mergeCells count="3">
    <mergeCell ref="A1:D1"/>
    <mergeCell ref="A13:D13"/>
    <mergeCell ref="A25:D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1F3D-03C9-5B4A-AF79-BDC30668B145}">
  <sheetPr>
    <tabColor rgb="FFC00000"/>
  </sheetPr>
  <dimension ref="A1:D35"/>
  <sheetViews>
    <sheetView zoomScale="125" zoomScaleNormal="125" workbookViewId="0">
      <selection activeCell="H24" sqref="H24"/>
    </sheetView>
  </sheetViews>
  <sheetFormatPr baseColWidth="10" defaultRowHeight="13" x14ac:dyDescent="0.15"/>
  <cols>
    <col min="2" max="3" width="15" customWidth="1"/>
    <col min="4" max="4" width="9.83203125" customWidth="1"/>
  </cols>
  <sheetData>
    <row r="1" spans="1:4" x14ac:dyDescent="0.15">
      <c r="A1" s="145" t="s">
        <v>75</v>
      </c>
      <c r="B1" s="145"/>
      <c r="C1" s="145"/>
      <c r="D1" s="145"/>
    </row>
    <row r="2" spans="1:4" x14ac:dyDescent="0.15">
      <c r="B2" s="23" t="s">
        <v>71</v>
      </c>
      <c r="C2" s="23" t="s">
        <v>72</v>
      </c>
      <c r="D2" s="23" t="s">
        <v>81</v>
      </c>
    </row>
    <row r="3" spans="1:4" x14ac:dyDescent="0.15">
      <c r="A3" s="23" t="s">
        <v>73</v>
      </c>
      <c r="B3" s="26">
        <v>1432136</v>
      </c>
      <c r="C3" s="26">
        <v>3045224</v>
      </c>
      <c r="D3" s="26">
        <f>B3+C3</f>
        <v>4477360</v>
      </c>
    </row>
    <row r="4" spans="1:4" x14ac:dyDescent="0.15">
      <c r="A4" s="23" t="s">
        <v>74</v>
      </c>
      <c r="B4" s="26">
        <v>39925</v>
      </c>
      <c r="C4" s="26">
        <v>166717</v>
      </c>
      <c r="D4" s="26">
        <f>B4+C4</f>
        <v>206642</v>
      </c>
    </row>
    <row r="6" spans="1:4" x14ac:dyDescent="0.15">
      <c r="A6" s="27" t="s">
        <v>76</v>
      </c>
      <c r="C6" s="25">
        <f>C3/D3</f>
        <v>0.68013829578144258</v>
      </c>
    </row>
    <row r="7" spans="1:4" x14ac:dyDescent="0.15">
      <c r="A7" s="27" t="s">
        <v>77</v>
      </c>
      <c r="C7" s="25">
        <f>C4/D4</f>
        <v>0.80679145575439648</v>
      </c>
    </row>
    <row r="9" spans="1:4" x14ac:dyDescent="0.15">
      <c r="A9" s="27" t="s">
        <v>78</v>
      </c>
      <c r="B9" s="22">
        <v>14702.087</v>
      </c>
    </row>
    <row r="10" spans="1:4" x14ac:dyDescent="0.15">
      <c r="A10" s="27" t="s">
        <v>79</v>
      </c>
      <c r="B10" s="24">
        <v>0</v>
      </c>
    </row>
    <row r="11" spans="1:4" x14ac:dyDescent="0.15">
      <c r="A11" s="27" t="s">
        <v>85</v>
      </c>
      <c r="B11" s="26">
        <v>516198959039</v>
      </c>
      <c r="C11" s="24">
        <v>0</v>
      </c>
    </row>
    <row r="13" spans="1:4" x14ac:dyDescent="0.15">
      <c r="A13" s="145" t="s">
        <v>80</v>
      </c>
      <c r="B13" s="145"/>
      <c r="C13" s="145"/>
      <c r="D13" s="145"/>
    </row>
    <row r="14" spans="1:4" x14ac:dyDescent="0.15">
      <c r="B14" s="23" t="s">
        <v>71</v>
      </c>
      <c r="C14" s="23" t="s">
        <v>72</v>
      </c>
      <c r="D14" s="23" t="s">
        <v>81</v>
      </c>
    </row>
    <row r="15" spans="1:4" x14ac:dyDescent="0.15">
      <c r="A15" s="23" t="s">
        <v>73</v>
      </c>
      <c r="B15" s="26">
        <v>1228600</v>
      </c>
      <c r="C15" s="26">
        <v>1957946</v>
      </c>
      <c r="D15" s="26">
        <f>B15+C15</f>
        <v>3186546</v>
      </c>
    </row>
    <row r="16" spans="1:4" x14ac:dyDescent="0.15">
      <c r="A16" s="23" t="s">
        <v>74</v>
      </c>
      <c r="B16" s="26">
        <v>36816</v>
      </c>
      <c r="C16" s="26">
        <v>142106</v>
      </c>
      <c r="D16" s="26">
        <f>B16+C16</f>
        <v>178922</v>
      </c>
    </row>
    <row r="18" spans="1:4" x14ac:dyDescent="0.15">
      <c r="A18" s="27" t="s">
        <v>76</v>
      </c>
      <c r="C18" s="25">
        <f>C15/D15</f>
        <v>0.61444146734426552</v>
      </c>
    </row>
    <row r="19" spans="1:4" x14ac:dyDescent="0.15">
      <c r="A19" s="27" t="s">
        <v>77</v>
      </c>
      <c r="C19" s="25">
        <f>C16/D16</f>
        <v>0.79423435910620266</v>
      </c>
    </row>
    <row r="21" spans="1:4" x14ac:dyDescent="0.15">
      <c r="A21" s="27" t="s">
        <v>78</v>
      </c>
      <c r="B21" s="22"/>
      <c r="C21">
        <v>23339.781999999999</v>
      </c>
    </row>
    <row r="22" spans="1:4" x14ac:dyDescent="0.15">
      <c r="A22" s="27" t="s">
        <v>79</v>
      </c>
      <c r="C22" s="24">
        <v>0</v>
      </c>
    </row>
    <row r="23" spans="1:4" x14ac:dyDescent="0.15">
      <c r="A23" s="27" t="s">
        <v>85</v>
      </c>
      <c r="B23" s="26">
        <v>331178409313.5</v>
      </c>
      <c r="C23" s="24">
        <v>0</v>
      </c>
    </row>
    <row r="25" spans="1:4" x14ac:dyDescent="0.15">
      <c r="A25" s="145" t="s">
        <v>82</v>
      </c>
      <c r="B25" s="145"/>
      <c r="C25" s="145"/>
      <c r="D25" s="145"/>
    </row>
    <row r="26" spans="1:4" x14ac:dyDescent="0.15">
      <c r="B26" s="23" t="s">
        <v>71</v>
      </c>
      <c r="C26" s="23" t="s">
        <v>72</v>
      </c>
      <c r="D26" s="23" t="s">
        <v>81</v>
      </c>
    </row>
    <row r="27" spans="1:4" x14ac:dyDescent="0.15">
      <c r="A27" s="23" t="s">
        <v>73</v>
      </c>
      <c r="B27" s="26">
        <v>203536</v>
      </c>
      <c r="C27" s="26">
        <v>1087278</v>
      </c>
      <c r="D27" s="26">
        <f>B27+C27</f>
        <v>1290814</v>
      </c>
    </row>
    <row r="28" spans="1:4" x14ac:dyDescent="0.15">
      <c r="A28" s="23" t="s">
        <v>74</v>
      </c>
      <c r="B28" s="26">
        <v>3109</v>
      </c>
      <c r="C28" s="26">
        <v>24611</v>
      </c>
      <c r="D28" s="26">
        <f>B28+C28</f>
        <v>27720</v>
      </c>
    </row>
    <row r="30" spans="1:4" x14ac:dyDescent="0.15">
      <c r="A30" s="27" t="s">
        <v>76</v>
      </c>
      <c r="C30" s="25">
        <f>C27/D27</f>
        <v>0.84231965256032237</v>
      </c>
    </row>
    <row r="31" spans="1:4" x14ac:dyDescent="0.15">
      <c r="A31" s="27" t="s">
        <v>77</v>
      </c>
      <c r="C31" s="25">
        <f>C28/D28</f>
        <v>0.88784271284271288</v>
      </c>
    </row>
    <row r="33" spans="1:3" x14ac:dyDescent="0.15">
      <c r="A33" s="27" t="s">
        <v>78</v>
      </c>
      <c r="B33" s="22"/>
      <c r="C33">
        <v>425.18</v>
      </c>
    </row>
    <row r="34" spans="1:3" x14ac:dyDescent="0.15">
      <c r="A34" s="27" t="s">
        <v>79</v>
      </c>
      <c r="C34" s="28" t="s">
        <v>83</v>
      </c>
    </row>
    <row r="35" spans="1:3" x14ac:dyDescent="0.15">
      <c r="A35" s="27" t="s">
        <v>85</v>
      </c>
      <c r="B35" s="26">
        <v>18715210051.5</v>
      </c>
      <c r="C35" s="28" t="s">
        <v>87</v>
      </c>
    </row>
  </sheetData>
  <mergeCells count="3">
    <mergeCell ref="A1:D1"/>
    <mergeCell ref="A13:D1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 Desc Table</vt:lpstr>
      <vt:lpstr>Vis CMBS</vt:lpstr>
      <vt:lpstr>Descriptive Table</vt:lpstr>
      <vt:lpstr>Data Table</vt:lpstr>
      <vt:lpstr>Cluster Medians Binary Scores</vt:lpstr>
      <vt:lpstr> WIP Desc Table (Inc Coding)</vt:lpstr>
      <vt:lpstr>Tests (Cluster Medians)</vt:lpstr>
      <vt:lpstr>Tests (Binary Score)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Becker, Sasha (NIH/NLM) [F]</cp:lastModifiedBy>
  <dcterms:created xsi:type="dcterms:W3CDTF">2026-07-22T15:08:14Z</dcterms:created>
  <dcterms:modified xsi:type="dcterms:W3CDTF">2026-08-05T14:02:01Z</dcterms:modified>
</cp:coreProperties>
</file>